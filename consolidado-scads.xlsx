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Fuentes" sheetId="2" state="visible" r:id="rId2"/>
    <sheet xmlns:r="http://schemas.openxmlformats.org/officeDocument/2006/relationships" name="Registro" sheetId="3" state="visible" r:id="rId3"/>
    <sheet xmlns:r="http://schemas.openxmlformats.org/officeDocument/2006/relationships" name="Trafico" sheetId="4" state="visible" r:id="rId4"/>
    <sheet xmlns:r="http://schemas.openxmlformats.org/officeDocument/2006/relationships" name="Resume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\$#,##0"/>
    <numFmt numFmtId="165" formatCode="yyyy\-mm\-dd\ hh:mm"/>
    <numFmt numFmtId="166" formatCode="yyyy\-mm\-dd"/>
    <numFmt numFmtId="167" formatCode="\$#,##0;&quot;($&quot;#,##0\);\-"/>
    <numFmt numFmtId="168" formatCode="#,##0;\-;\-"/>
    <numFmt numFmtId="169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B2124"/>
      <sz val="16"/>
    </font>
    <font>
      <name val="Arial"/>
      <charset val="1"/>
      <family val="0"/>
      <sz val="10"/>
    </font>
    <font>
      <name val="Arial"/>
      <charset val="1"/>
      <family val="0"/>
      <b val="1"/>
      <color rgb="FFC99B2E"/>
      <sz val="11"/>
    </font>
    <font>
      <name val="Arial"/>
      <charset val="1"/>
      <family val="0"/>
      <b val="1"/>
      <color rgb="FF0B2124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0B2124"/>
      <sz val="14"/>
    </font>
  </fonts>
  <fills count="5">
    <fill>
      <patternFill/>
    </fill>
    <fill>
      <patternFill patternType="gray125"/>
    </fill>
    <fill>
      <patternFill patternType="solid">
        <fgColor rgb="FF0B212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0B2124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165" fontId="5" fillId="4" borderId="1" applyAlignment="1" pivotButton="0" quotePrefix="0" xfId="0">
      <alignment horizontal="general" vertical="bottom"/>
    </xf>
    <xf numFmtId="164" fontId="5" fillId="4" borderId="1" applyAlignment="1" pivotButton="0" quotePrefix="0" xfId="0">
      <alignment horizontal="general" vertical="bottom"/>
    </xf>
    <xf numFmtId="3" fontId="5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7" fontId="5" fillId="0" borderId="1" applyAlignment="1" pivotButton="0" quotePrefix="0" xfId="0">
      <alignment horizontal="general" vertical="bottom"/>
    </xf>
    <xf numFmtId="168" fontId="5" fillId="0" borderId="1" applyAlignment="1" pivotButton="0" quotePrefix="0" xfId="0">
      <alignment horizontal="general" vertical="bottom"/>
    </xf>
    <xf numFmtId="169" fontId="5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7" fontId="7" fillId="0" borderId="2" applyAlignment="1" pivotButton="0" quotePrefix="0" xfId="0">
      <alignment horizontal="general" vertical="bottom"/>
    </xf>
    <xf numFmtId="168" fontId="7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bottom"/>
    </xf>
    <xf numFmtId="165" fontId="5" fillId="4" borderId="1" applyAlignment="1" pivotButton="0" quotePrefix="0" xfId="0">
      <alignment horizontal="general" vertical="bottom"/>
    </xf>
    <xf numFmtId="164" fontId="5" fillId="4" borderId="1" applyAlignment="1" pivotButton="0" quotePrefix="0" xfId="0">
      <alignment horizontal="general" vertical="bottom"/>
    </xf>
    <xf numFmtId="3" fontId="5" fillId="4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167" fontId="5" fillId="0" borderId="1" applyAlignment="1" pivotButton="0" quotePrefix="0" xfId="0">
      <alignment horizontal="general" vertical="bottom"/>
    </xf>
    <xf numFmtId="168" fontId="5" fillId="0" borderId="1" applyAlignment="1" pivotButton="0" quotePrefix="0" xfId="0">
      <alignment horizontal="general" vertical="bottom"/>
    </xf>
    <xf numFmtId="169" fontId="5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167" fontId="7" fillId="0" borderId="2" applyAlignment="1" pivotButton="0" quotePrefix="0" xfId="0">
      <alignment horizontal="general" vertical="bottom"/>
    </xf>
    <xf numFmtId="168" fontId="7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B2E"/>
      <rgbColor rgb="FFFF6600"/>
      <rgbColor rgb="FF666666"/>
      <rgbColor rgb="FF969696"/>
      <rgbColor rgb="FF003366"/>
      <rgbColor rgb="FF339966"/>
      <rgbColor rgb="FF0B2124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B3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5" min="1" max="1"/>
    <col width="108" customWidth="1" style="25" min="2" max="2"/>
  </cols>
  <sheetData>
    <row r="1" ht="19.7" customHeight="1" s="26">
      <c r="B1" s="27" t="inlineStr">
        <is>
          <t>CONSOLIDADO · SC Ads</t>
        </is>
      </c>
    </row>
    <row r="2" ht="15" customHeight="1" s="26">
      <c r="B2" s="28" t="n"/>
    </row>
    <row r="3" ht="15" customHeight="1" s="26">
      <c r="B3" s="28" t="inlineStr">
        <is>
          <t>Esta hoja es de la agencia. Ningún cliente la ve.</t>
        </is>
      </c>
    </row>
    <row r="4" ht="15" customHeight="1" s="26">
      <c r="B4" s="28" t="inlineStr">
        <is>
          <t>Reúne las ventas de las cinco hojas y sirve los datos al televisor.</t>
        </is>
      </c>
    </row>
    <row r="5" ht="15" customHeight="1" s="26">
      <c r="B5" s="28" t="n"/>
    </row>
    <row r="6" ht="15" customHeight="1" s="26">
      <c r="B6" s="29" t="inlineStr">
        <is>
          <t>MONTAJE, UNA SOLA VEZ</t>
        </is>
      </c>
    </row>
    <row r="7" ht="15" customHeight="1" s="26">
      <c r="B7" s="28" t="n"/>
    </row>
    <row r="8" ht="15" customHeight="1" s="26">
      <c r="B8" s="28" t="inlineStr">
        <is>
          <t>1. Copia las pestañas SCADS_Ventas y SCADS_Vendedoras en la hoja de cada cliente.</t>
        </is>
      </c>
    </row>
    <row r="9" ht="15" customHeight="1" s="26">
      <c r="B9" s="28" t="inlineStr">
        <is>
          <t>2. Llena la pestaña Fuentes: el id de cada hoja sale de su URL, entre /d/ y /edit.</t>
        </is>
      </c>
    </row>
    <row r="10" ht="15" customHeight="1" s="26">
      <c r="B10" s="28" t="inlineStr">
        <is>
          <t>3. Extensiones → Apps Script: pega recolector.js y guarda.</t>
        </is>
      </c>
    </row>
    <row r="11" ht="15" customHeight="1" s="26">
      <c r="B11" s="28" t="inlineStr">
        <is>
          <t>4. Configuración del proyecto → Propiedades del script, agrega:</t>
        </is>
      </c>
    </row>
    <row r="12" ht="15" customHeight="1" s="26">
      <c r="B12" s="30" t="inlineStr">
        <is>
          <t xml:space="preserve">      LLAVE_TABLERO   = una contraseña que inventes (la usa el televisor)</t>
        </is>
      </c>
    </row>
    <row r="13" ht="15" customHeight="1" s="26">
      <c r="B13" s="30" t="inlineStr">
        <is>
          <t xml:space="preserve">      META_TOKEN      = el token de Meta (déjalo para después, no bloquea nada)</t>
        </is>
      </c>
    </row>
    <row r="14" ht="15" customHeight="1" s="26">
      <c r="B14" s="28" t="inlineStr">
        <is>
          <t>5. Ejecuta instalarDisparadores una sola vez y acepta los permisos.</t>
        </is>
      </c>
    </row>
    <row r="15" ht="15" customHeight="1" s="26">
      <c r="B15" s="28" t="inlineStr">
        <is>
          <t>6. Implementar → Nueva implementación → Aplicación web.</t>
        </is>
      </c>
    </row>
    <row r="16" ht="15" customHeight="1" s="26">
      <c r="B16" s="30" t="inlineStr">
        <is>
          <t xml:space="preserve">      Ejecutar como: Yo    ·    Acceso: Cualquier usuario</t>
        </is>
      </c>
    </row>
    <row r="17" ht="15" customHeight="1" s="26">
      <c r="B17" s="28" t="inlineStr">
        <is>
          <t>7. Copia la URL /exec y pégala en el CONFIG de la página del televisor.</t>
        </is>
      </c>
    </row>
    <row r="18" ht="15" customHeight="1" s="26">
      <c r="B18" s="28" t="n"/>
    </row>
    <row r="19" ht="15" customHeight="1" s="26">
      <c r="B19" s="29" t="inlineStr">
        <is>
          <t>QUÉ HACE CADA PESTAÑA</t>
        </is>
      </c>
    </row>
    <row r="20" ht="15" customHeight="1" s="26">
      <c r="B20" s="28" t="n"/>
    </row>
    <row r="21" ht="15" customHeight="1" s="26">
      <c r="B21" s="30" t="inlineStr">
        <is>
          <t>Fuentes   ·  la llenas tú. Un renglón por cliente.</t>
        </is>
      </c>
    </row>
    <row r="22" ht="15" customHeight="1" s="26">
      <c r="B22" s="30" t="inlineStr">
        <is>
          <t>Registro  ·  la llena el recolector. Es el histórico completo, no se toca.</t>
        </is>
      </c>
    </row>
    <row r="23" ht="15" customHeight="1" s="26">
      <c r="B23" s="30" t="inlineStr">
        <is>
          <t>Trafico   ·  la llena el recolector con la inversión de Meta. Se sobrescribe.</t>
        </is>
      </c>
    </row>
    <row r="24" ht="15" customHeight="1" s="26">
      <c r="B24" s="30" t="inlineStr">
        <is>
          <t>Resumen   ·  se calcula solo. Muestra el mes en curso.</t>
        </is>
      </c>
    </row>
    <row r="25" ht="15" customHeight="1" s="26">
      <c r="B25" s="28" t="n"/>
    </row>
    <row r="26" ht="15" customHeight="1" s="26">
      <c r="B26" s="29" t="inlineStr">
        <is>
          <t>SOBRE LA VENTANA MENSUAL</t>
        </is>
      </c>
    </row>
    <row r="27" ht="15" customHeight="1" s="26">
      <c r="B27" s="28" t="n"/>
    </row>
    <row r="28" ht="15" customHeight="1" s="26">
      <c r="B28" s="28" t="inlineStr">
        <is>
          <t>Todo lo que se ve arranca el día 1 del mes actual y llega hasta hoy.</t>
        </is>
      </c>
    </row>
    <row r="29" ht="15" customHeight="1" s="26">
      <c r="B29" s="28" t="inlineStr">
        <is>
          <t>El 1ro de cada mes los números vuelven a cero solos. El Registro guarda el histórico completo.</t>
        </is>
      </c>
    </row>
    <row r="30" ht="15" customHeight="1" s="26">
      <c r="B30" s="28" t="n"/>
    </row>
    <row r="31" ht="15" customHeight="1" s="26">
      <c r="B31" s="31" t="inlineStr">
        <is>
          <t>El id de cada venta lo escribe el recolector dentro de la hoja del cliente, así que</t>
        </is>
      </c>
    </row>
    <row r="32" ht="15" customHeight="1" s="26">
      <c r="B32" s="31" t="inlineStr">
        <is>
          <t>necesitas permiso de edición en las cinco hojas, no solo de lectura.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5" min="1" max="1"/>
    <col width="12" customWidth="1" style="25" min="2" max="2"/>
    <col width="46" customWidth="1" style="25" min="3" max="3"/>
    <col width="18" customWidth="1" style="25" min="4" max="4"/>
    <col width="24" customWidth="1" style="25" min="5" max="5"/>
    <col width="16" customWidth="1" style="25" min="6" max="6"/>
    <col width="10" customWidth="1" style="25" min="7" max="7"/>
  </cols>
  <sheetData>
    <row r="1" ht="15" customHeight="1" s="26">
      <c r="A1" s="32" t="inlineStr">
        <is>
          <t>cliente</t>
        </is>
      </c>
      <c r="B1" s="32" t="inlineStr">
        <is>
          <t>prefijo</t>
        </is>
      </c>
      <c r="C1" s="32" t="inlineStr">
        <is>
          <t>id_hoja</t>
        </is>
      </c>
      <c r="D1" s="32" t="inlineStr">
        <is>
          <t>pestana</t>
        </is>
      </c>
      <c r="E1" s="32" t="inlineStr">
        <is>
          <t>cuenta_meta</t>
        </is>
      </c>
      <c r="F1" s="32" t="inlineStr">
        <is>
          <t>meta_mes</t>
        </is>
      </c>
      <c r="G1" s="32" t="inlineStr">
        <is>
          <t>activo</t>
        </is>
      </c>
    </row>
    <row r="2" ht="15" customHeight="1" s="26">
      <c r="A2" s="33" t="inlineStr">
        <is>
          <t>Dayan</t>
        </is>
      </c>
      <c r="B2" s="33" t="inlineStr">
        <is>
          <t>DAY</t>
        </is>
      </c>
      <c r="C2" s="33" t="n"/>
      <c r="D2" s="33" t="inlineStr">
        <is>
          <t>SCADS_Ventas</t>
        </is>
      </c>
      <c r="E2" s="33" t="n"/>
      <c r="F2" s="34" t="n">
        <v>20000000</v>
      </c>
      <c r="G2" s="33" t="inlineStr">
        <is>
          <t>Si</t>
        </is>
      </c>
    </row>
    <row r="3" ht="15" customHeight="1" s="26">
      <c r="A3" s="33" t="inlineStr">
        <is>
          <t>Daniela</t>
        </is>
      </c>
      <c r="B3" s="33" t="inlineStr">
        <is>
          <t>DAN</t>
        </is>
      </c>
      <c r="C3" s="33" t="n"/>
      <c r="D3" s="33" t="inlineStr">
        <is>
          <t>SCADS_Ventas</t>
        </is>
      </c>
      <c r="E3" s="33" t="n"/>
      <c r="F3" s="34" t="n">
        <v>15000000</v>
      </c>
      <c r="G3" s="33" t="inlineStr">
        <is>
          <t>Si</t>
        </is>
      </c>
    </row>
    <row r="4" ht="15" customHeight="1" s="26">
      <c r="A4" s="33" t="inlineStr">
        <is>
          <t>Cucalon</t>
        </is>
      </c>
      <c r="B4" s="33" t="inlineStr">
        <is>
          <t>CUC</t>
        </is>
      </c>
      <c r="C4" s="33" t="n"/>
      <c r="D4" s="33" t="inlineStr">
        <is>
          <t>SCADS_Ventas</t>
        </is>
      </c>
      <c r="E4" s="33" t="n"/>
      <c r="F4" s="34" t="n">
        <v>30000000</v>
      </c>
      <c r="G4" s="33" t="inlineStr">
        <is>
          <t>Si</t>
        </is>
      </c>
    </row>
    <row r="5" ht="15" customHeight="1" s="26">
      <c r="A5" s="33" t="inlineStr">
        <is>
          <t>Autonal</t>
        </is>
      </c>
      <c r="B5" s="33" t="inlineStr">
        <is>
          <t>AUT</t>
        </is>
      </c>
      <c r="C5" s="33" t="n"/>
      <c r="D5" s="33" t="inlineStr">
        <is>
          <t>SCADS_Ventas</t>
        </is>
      </c>
      <c r="E5" s="33" t="n"/>
      <c r="F5" s="34" t="n">
        <v>80000000</v>
      </c>
      <c r="G5" s="33" t="inlineStr">
        <is>
          <t>Si</t>
        </is>
      </c>
    </row>
    <row r="6" ht="15" customHeight="1" s="26">
      <c r="A6" s="33" t="inlineStr">
        <is>
          <t>Decotienda</t>
        </is>
      </c>
      <c r="B6" s="33" t="inlineStr">
        <is>
          <t>DEC</t>
        </is>
      </c>
      <c r="C6" s="33" t="n"/>
      <c r="D6" s="33" t="inlineStr">
        <is>
          <t>SCADS_Ventas</t>
        </is>
      </c>
      <c r="E6" s="33" t="n"/>
      <c r="F6" s="34" t="n">
        <v>10000000</v>
      </c>
      <c r="G6" s="33" t="inlineStr">
        <is>
          <t>Si</t>
        </is>
      </c>
    </row>
    <row r="7" ht="15" customHeight="1" s="26">
      <c r="A7" s="33" t="n"/>
      <c r="B7" s="33" t="n"/>
      <c r="C7" s="33" t="n"/>
      <c r="D7" s="33" t="n"/>
      <c r="E7" s="33" t="n"/>
      <c r="F7" s="34" t="n"/>
      <c r="G7" s="33" t="n"/>
    </row>
    <row r="8" ht="15" customHeight="1" s="26">
      <c r="A8" s="33" t="n"/>
      <c r="B8" s="33" t="n"/>
      <c r="C8" s="33" t="n"/>
      <c r="D8" s="33" t="n"/>
      <c r="E8" s="33" t="n"/>
      <c r="F8" s="34" t="n"/>
      <c r="G8" s="33" t="n"/>
    </row>
    <row r="9" ht="15" customHeight="1" s="26">
      <c r="A9" s="35" t="inlineStr">
        <is>
          <t>prefijo: tres letras. Con eso se arman los id de las ventas (DAY-000001).</t>
        </is>
      </c>
      <c r="B9" s="33" t="n"/>
      <c r="C9" s="33" t="n"/>
      <c r="D9" s="33" t="n"/>
      <c r="E9" s="33" t="n"/>
      <c r="F9" s="34" t="n"/>
      <c r="G9" s="33" t="n"/>
    </row>
    <row r="10" ht="15" customHeight="1" s="26">
      <c r="A10" s="35" t="inlineStr">
        <is>
          <t>cuenta_meta: se llena en la fase 2. Vacío = ese cliente muestra inversión en cero.</t>
        </is>
      </c>
      <c r="B10" s="33" t="n"/>
      <c r="C10" s="33" t="n"/>
      <c r="D10" s="33" t="n"/>
      <c r="E10" s="33" t="n"/>
      <c r="F10" s="34" t="n"/>
      <c r="G10" s="33" t="n"/>
    </row>
    <row r="11" ht="15" customHeight="1" s="26">
      <c r="A11" s="33" t="n"/>
      <c r="B11" s="33" t="n"/>
      <c r="C11" s="33" t="n"/>
      <c r="D11" s="33" t="n"/>
      <c r="E11" s="33" t="n"/>
      <c r="F11" s="34" t="n"/>
      <c r="G11" s="33" t="n"/>
    </row>
    <row r="12" ht="15" customHeight="1" s="26">
      <c r="A12" s="33" t="n"/>
      <c r="B12" s="33" t="n"/>
      <c r="C12" s="33" t="n"/>
      <c r="D12" s="33" t="n"/>
      <c r="E12" s="33" t="n"/>
      <c r="F12" s="34" t="n"/>
      <c r="G12" s="33" t="n"/>
    </row>
    <row r="13" ht="15" customHeight="1" s="26">
      <c r="A13" s="33" t="n"/>
      <c r="B13" s="33" t="n"/>
      <c r="C13" s="33" t="n"/>
      <c r="D13" s="33" t="n"/>
      <c r="E13" s="33" t="n"/>
      <c r="F13" s="34" t="n"/>
      <c r="G13" s="33" t="n"/>
    </row>
    <row r="14" ht="15" customHeight="1" s="26">
      <c r="A14" s="33" t="n"/>
      <c r="B14" s="33" t="n"/>
      <c r="C14" s="33" t="n"/>
      <c r="D14" s="33" t="n"/>
      <c r="E14" s="33" t="n"/>
      <c r="F14" s="34" t="n"/>
      <c r="G14" s="33" t="n"/>
    </row>
    <row r="15" ht="15" customHeight="1" s="26">
      <c r="A15" s="33" t="n"/>
      <c r="B15" s="33" t="n"/>
      <c r="C15" s="33" t="n"/>
      <c r="D15" s="33" t="n"/>
      <c r="E15" s="33" t="n"/>
      <c r="F15" s="34" t="n"/>
      <c r="G15" s="33" t="n"/>
    </row>
    <row r="16" ht="15" customHeight="1" s="26">
      <c r="A16" s="33" t="n"/>
      <c r="B16" s="33" t="n"/>
      <c r="C16" s="33" t="n"/>
      <c r="D16" s="33" t="n"/>
      <c r="E16" s="33" t="n"/>
      <c r="F16" s="34" t="n"/>
      <c r="G16" s="33" t="n"/>
    </row>
    <row r="17" ht="15" customHeight="1" s="26">
      <c r="A17" s="33" t="n"/>
      <c r="B17" s="33" t="n"/>
      <c r="C17" s="33" t="n"/>
      <c r="D17" s="33" t="n"/>
      <c r="E17" s="33" t="n"/>
      <c r="F17" s="34" t="n"/>
      <c r="G17" s="33" t="n"/>
    </row>
    <row r="18" ht="15" customHeight="1" s="26">
      <c r="A18" s="33" t="n"/>
      <c r="B18" s="33" t="n"/>
      <c r="C18" s="33" t="n"/>
      <c r="D18" s="33" t="n"/>
      <c r="E18" s="33" t="n"/>
      <c r="F18" s="34" t="n"/>
      <c r="G18" s="33" t="n"/>
    </row>
    <row r="19" ht="15" customHeight="1" s="26">
      <c r="A19" s="33" t="n"/>
      <c r="B19" s="33" t="n"/>
      <c r="C19" s="33" t="n"/>
      <c r="D19" s="33" t="n"/>
      <c r="E19" s="33" t="n"/>
      <c r="F19" s="34" t="n"/>
      <c r="G19" s="33" t="n"/>
    </row>
  </sheetData>
  <dataValidations count="1">
    <dataValidation sqref="G2:G20" showDropDown="0" showInputMessage="0" showErrorMessage="0" allowBlank="1" type="list" errorStyle="stop" operator="between">
      <formula1>"Si,No"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9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18" customWidth="1" style="25" min="2" max="3"/>
    <col width="20" customWidth="1" style="25" min="4" max="4"/>
    <col width="16" customWidth="1" style="25" min="5" max="5"/>
    <col width="14" customWidth="1" style="25" min="6" max="6"/>
    <col width="26" customWidth="1" style="25" min="7" max="7"/>
    <col width="18" customWidth="1" style="25" min="8" max="8"/>
  </cols>
  <sheetData>
    <row r="1" ht="15" customHeight="1" s="26">
      <c r="A1" s="32" t="inlineStr">
        <is>
          <t>id</t>
        </is>
      </c>
      <c r="B1" s="32" t="inlineStr">
        <is>
          <t>cliente</t>
        </is>
      </c>
      <c r="C1" s="32" t="inlineStr">
        <is>
          <t>fecha</t>
        </is>
      </c>
      <c r="D1" s="32" t="inlineStr">
        <is>
          <t>vendedora</t>
        </is>
      </c>
      <c r="E1" s="32" t="inlineStr">
        <is>
          <t>monto</t>
        </is>
      </c>
      <c r="F1" s="32" t="inlineStr">
        <is>
          <t>estado</t>
        </is>
      </c>
      <c r="G1" s="32" t="inlineStr">
        <is>
          <t>producto</t>
        </is>
      </c>
      <c r="H1" s="32" t="inlineStr">
        <is>
          <t>visto_en</t>
        </is>
      </c>
    </row>
    <row r="2" ht="15" customHeight="1" s="26">
      <c r="A2" s="36" t="inlineStr">
        <is>
          <t>El recolector llena desde aquí. No escribas nada.</t>
        </is>
      </c>
      <c r="B2" s="37" t="n"/>
      <c r="C2" s="38" t="n"/>
      <c r="D2" s="37" t="n"/>
      <c r="E2" s="39" t="n"/>
      <c r="F2" s="37" t="n"/>
      <c r="G2" s="37" t="n"/>
      <c r="H2" s="38" t="n"/>
    </row>
    <row r="3" ht="15" customHeight="1" s="26">
      <c r="A3" s="37" t="n"/>
      <c r="B3" s="37" t="n"/>
      <c r="C3" s="38" t="n"/>
      <c r="D3" s="37" t="n"/>
      <c r="E3" s="39" t="n"/>
      <c r="F3" s="37" t="n"/>
      <c r="G3" s="37" t="n"/>
      <c r="H3" s="38" t="n"/>
    </row>
    <row r="4" ht="15" customHeight="1" s="26">
      <c r="A4" s="37" t="n"/>
      <c r="B4" s="37" t="n"/>
      <c r="C4" s="38" t="n"/>
      <c r="D4" s="37" t="n"/>
      <c r="E4" s="39" t="n"/>
      <c r="F4" s="37" t="n"/>
      <c r="G4" s="37" t="n"/>
      <c r="H4" s="38" t="n"/>
    </row>
    <row r="5" ht="15" customHeight="1" s="26">
      <c r="A5" s="37" t="n"/>
      <c r="B5" s="37" t="n"/>
      <c r="C5" s="38" t="n"/>
      <c r="D5" s="37" t="n"/>
      <c r="E5" s="39" t="n"/>
      <c r="F5" s="37" t="n"/>
      <c r="G5" s="37" t="n"/>
      <c r="H5" s="38" t="n"/>
    </row>
    <row r="6" ht="15" customHeight="1" s="26">
      <c r="A6" s="37" t="n"/>
      <c r="B6" s="37" t="n"/>
      <c r="C6" s="38" t="n"/>
      <c r="D6" s="37" t="n"/>
      <c r="E6" s="39" t="n"/>
      <c r="F6" s="37" t="n"/>
      <c r="G6" s="37" t="n"/>
      <c r="H6" s="38" t="n"/>
    </row>
    <row r="7" ht="15" customHeight="1" s="26">
      <c r="A7" s="37" t="n"/>
      <c r="B7" s="37" t="n"/>
      <c r="C7" s="38" t="n"/>
      <c r="D7" s="37" t="n"/>
      <c r="E7" s="39" t="n"/>
      <c r="F7" s="37" t="n"/>
      <c r="G7" s="37" t="n"/>
      <c r="H7" s="38" t="n"/>
    </row>
    <row r="8" ht="15" customHeight="1" s="26">
      <c r="A8" s="37" t="n"/>
      <c r="B8" s="37" t="n"/>
      <c r="C8" s="38" t="n"/>
      <c r="D8" s="37" t="n"/>
      <c r="E8" s="39" t="n"/>
      <c r="F8" s="37" t="n"/>
      <c r="G8" s="37" t="n"/>
      <c r="H8" s="38" t="n"/>
    </row>
    <row r="9" ht="15" customHeight="1" s="26">
      <c r="A9" s="37" t="n"/>
      <c r="B9" s="37" t="n"/>
      <c r="C9" s="38" t="n"/>
      <c r="D9" s="37" t="n"/>
      <c r="E9" s="39" t="n"/>
      <c r="F9" s="37" t="n"/>
      <c r="G9" s="37" t="n"/>
      <c r="H9" s="38" t="n"/>
    </row>
    <row r="10" ht="15" customHeight="1" s="26">
      <c r="A10" s="37" t="n"/>
      <c r="B10" s="37" t="n"/>
      <c r="C10" s="38" t="n"/>
      <c r="D10" s="37" t="n"/>
      <c r="E10" s="39" t="n"/>
      <c r="F10" s="37" t="n"/>
      <c r="G10" s="37" t="n"/>
      <c r="H10" s="38" t="n"/>
    </row>
    <row r="11" ht="15" customHeight="1" s="26">
      <c r="A11" s="37" t="n"/>
      <c r="B11" s="37" t="n"/>
      <c r="C11" s="38" t="n"/>
      <c r="D11" s="37" t="n"/>
      <c r="E11" s="39" t="n"/>
      <c r="F11" s="37" t="n"/>
      <c r="G11" s="37" t="n"/>
      <c r="H11" s="38" t="n"/>
    </row>
    <row r="12" ht="15" customHeight="1" s="26">
      <c r="A12" s="37" t="n"/>
      <c r="B12" s="37" t="n"/>
      <c r="C12" s="38" t="n"/>
      <c r="D12" s="37" t="n"/>
      <c r="E12" s="39" t="n"/>
      <c r="F12" s="37" t="n"/>
      <c r="G12" s="37" t="n"/>
      <c r="H12" s="38" t="n"/>
    </row>
    <row r="13" ht="15" customHeight="1" s="26">
      <c r="A13" s="37" t="n"/>
      <c r="B13" s="37" t="n"/>
      <c r="C13" s="38" t="n"/>
      <c r="D13" s="37" t="n"/>
      <c r="E13" s="39" t="n"/>
      <c r="F13" s="37" t="n"/>
      <c r="G13" s="37" t="n"/>
      <c r="H13" s="38" t="n"/>
    </row>
    <row r="14" ht="15" customHeight="1" s="26">
      <c r="A14" s="37" t="n"/>
      <c r="B14" s="37" t="n"/>
      <c r="C14" s="38" t="n"/>
      <c r="D14" s="37" t="n"/>
      <c r="E14" s="39" t="n"/>
      <c r="F14" s="37" t="n"/>
      <c r="G14" s="37" t="n"/>
      <c r="H14" s="38" t="n"/>
    </row>
    <row r="15" ht="15" customHeight="1" s="26">
      <c r="A15" s="37" t="n"/>
      <c r="B15" s="37" t="n"/>
      <c r="C15" s="38" t="n"/>
      <c r="D15" s="37" t="n"/>
      <c r="E15" s="39" t="n"/>
      <c r="F15" s="37" t="n"/>
      <c r="G15" s="37" t="n"/>
      <c r="H15" s="38" t="n"/>
    </row>
    <row r="16" ht="15" customHeight="1" s="26">
      <c r="A16" s="37" t="n"/>
      <c r="B16" s="37" t="n"/>
      <c r="C16" s="38" t="n"/>
      <c r="D16" s="37" t="n"/>
      <c r="E16" s="39" t="n"/>
      <c r="F16" s="37" t="n"/>
      <c r="G16" s="37" t="n"/>
      <c r="H16" s="38" t="n"/>
    </row>
    <row r="17" ht="15" customHeight="1" s="26">
      <c r="A17" s="37" t="n"/>
      <c r="B17" s="37" t="n"/>
      <c r="C17" s="38" t="n"/>
      <c r="D17" s="37" t="n"/>
      <c r="E17" s="39" t="n"/>
      <c r="F17" s="37" t="n"/>
      <c r="G17" s="37" t="n"/>
      <c r="H17" s="38" t="n"/>
    </row>
    <row r="18" ht="15" customHeight="1" s="26">
      <c r="A18" s="37" t="n"/>
      <c r="B18" s="37" t="n"/>
      <c r="C18" s="38" t="n"/>
      <c r="D18" s="37" t="n"/>
      <c r="E18" s="39" t="n"/>
      <c r="F18" s="37" t="n"/>
      <c r="G18" s="37" t="n"/>
      <c r="H18" s="38" t="n"/>
    </row>
    <row r="19" ht="15" customHeight="1" s="26">
      <c r="A19" s="37" t="n"/>
      <c r="B19" s="37" t="n"/>
      <c r="C19" s="38" t="n"/>
      <c r="D19" s="37" t="n"/>
      <c r="E19" s="39" t="n"/>
      <c r="F19" s="37" t="n"/>
      <c r="G19" s="37" t="n"/>
      <c r="H19" s="38" t="n"/>
    </row>
    <row r="20" ht="15" customHeight="1" s="26">
      <c r="A20" s="37" t="n"/>
      <c r="B20" s="37" t="n"/>
      <c r="C20" s="38" t="n"/>
      <c r="D20" s="37" t="n"/>
      <c r="E20" s="39" t="n"/>
      <c r="F20" s="37" t="n"/>
      <c r="G20" s="37" t="n"/>
      <c r="H20" s="38" t="n"/>
    </row>
    <row r="21" ht="15" customHeight="1" s="26">
      <c r="A21" s="37" t="n"/>
      <c r="B21" s="37" t="n"/>
      <c r="C21" s="38" t="n"/>
      <c r="D21" s="37" t="n"/>
      <c r="E21" s="39" t="n"/>
      <c r="F21" s="37" t="n"/>
      <c r="G21" s="37" t="n"/>
      <c r="H21" s="38" t="n"/>
    </row>
    <row r="22" ht="15" customHeight="1" s="26">
      <c r="A22" s="37" t="n"/>
      <c r="B22" s="37" t="n"/>
      <c r="C22" s="38" t="n"/>
      <c r="D22" s="37" t="n"/>
      <c r="E22" s="39" t="n"/>
      <c r="F22" s="37" t="n"/>
      <c r="G22" s="37" t="n"/>
      <c r="H22" s="38" t="n"/>
    </row>
    <row r="23" ht="15" customHeight="1" s="26">
      <c r="A23" s="37" t="n"/>
      <c r="B23" s="37" t="n"/>
      <c r="C23" s="38" t="n"/>
      <c r="D23" s="37" t="n"/>
      <c r="E23" s="39" t="n"/>
      <c r="F23" s="37" t="n"/>
      <c r="G23" s="37" t="n"/>
      <c r="H23" s="38" t="n"/>
    </row>
    <row r="24" ht="15" customHeight="1" s="26">
      <c r="A24" s="37" t="n"/>
      <c r="B24" s="37" t="n"/>
      <c r="C24" s="38" t="n"/>
      <c r="D24" s="37" t="n"/>
      <c r="E24" s="39" t="n"/>
      <c r="F24" s="37" t="n"/>
      <c r="G24" s="37" t="n"/>
      <c r="H24" s="38" t="n"/>
    </row>
    <row r="25" ht="15" customHeight="1" s="26">
      <c r="A25" s="37" t="n"/>
      <c r="B25" s="37" t="n"/>
      <c r="C25" s="38" t="n"/>
      <c r="D25" s="37" t="n"/>
      <c r="E25" s="39" t="n"/>
      <c r="F25" s="37" t="n"/>
      <c r="G25" s="37" t="n"/>
      <c r="H25" s="38" t="n"/>
    </row>
    <row r="26" ht="15" customHeight="1" s="26">
      <c r="A26" s="37" t="n"/>
      <c r="B26" s="37" t="n"/>
      <c r="C26" s="38" t="n"/>
      <c r="D26" s="37" t="n"/>
      <c r="E26" s="39" t="n"/>
      <c r="F26" s="37" t="n"/>
      <c r="G26" s="37" t="n"/>
      <c r="H26" s="38" t="n"/>
    </row>
    <row r="27" ht="15" customHeight="1" s="26">
      <c r="A27" s="37" t="n"/>
      <c r="B27" s="37" t="n"/>
      <c r="C27" s="38" t="n"/>
      <c r="D27" s="37" t="n"/>
      <c r="E27" s="39" t="n"/>
      <c r="F27" s="37" t="n"/>
      <c r="G27" s="37" t="n"/>
      <c r="H27" s="38" t="n"/>
    </row>
    <row r="28" ht="15" customHeight="1" s="26">
      <c r="A28" s="37" t="n"/>
      <c r="B28" s="37" t="n"/>
      <c r="C28" s="38" t="n"/>
      <c r="D28" s="37" t="n"/>
      <c r="E28" s="39" t="n"/>
      <c r="F28" s="37" t="n"/>
      <c r="G28" s="37" t="n"/>
      <c r="H28" s="38" t="n"/>
    </row>
    <row r="29" ht="15" customHeight="1" s="26">
      <c r="A29" s="37" t="n"/>
      <c r="B29" s="37" t="n"/>
      <c r="C29" s="38" t="n"/>
      <c r="D29" s="37" t="n"/>
      <c r="E29" s="39" t="n"/>
      <c r="F29" s="37" t="n"/>
      <c r="G29" s="37" t="n"/>
      <c r="H29" s="38" t="n"/>
    </row>
    <row r="30" ht="15" customHeight="1" s="26">
      <c r="A30" s="37" t="n"/>
      <c r="B30" s="37" t="n"/>
      <c r="C30" s="38" t="n"/>
      <c r="D30" s="37" t="n"/>
      <c r="E30" s="39" t="n"/>
      <c r="F30" s="37" t="n"/>
      <c r="G30" s="37" t="n"/>
      <c r="H30" s="38" t="n"/>
    </row>
    <row r="31" ht="15" customHeight="1" s="26">
      <c r="A31" s="37" t="n"/>
      <c r="B31" s="37" t="n"/>
      <c r="C31" s="38" t="n"/>
      <c r="D31" s="37" t="n"/>
      <c r="E31" s="39" t="n"/>
      <c r="F31" s="37" t="n"/>
      <c r="G31" s="37" t="n"/>
      <c r="H31" s="38" t="n"/>
    </row>
    <row r="32" ht="15" customHeight="1" s="26">
      <c r="A32" s="37" t="n"/>
      <c r="B32" s="37" t="n"/>
      <c r="C32" s="38" t="n"/>
      <c r="D32" s="37" t="n"/>
      <c r="E32" s="39" t="n"/>
      <c r="F32" s="37" t="n"/>
      <c r="G32" s="37" t="n"/>
      <c r="H32" s="38" t="n"/>
    </row>
    <row r="33" ht="15" customHeight="1" s="26">
      <c r="A33" s="37" t="n"/>
      <c r="B33" s="37" t="n"/>
      <c r="C33" s="38" t="n"/>
      <c r="D33" s="37" t="n"/>
      <c r="E33" s="39" t="n"/>
      <c r="F33" s="37" t="n"/>
      <c r="G33" s="37" t="n"/>
      <c r="H33" s="38" t="n"/>
    </row>
    <row r="34" ht="15" customHeight="1" s="26">
      <c r="A34" s="37" t="n"/>
      <c r="B34" s="37" t="n"/>
      <c r="C34" s="38" t="n"/>
      <c r="D34" s="37" t="n"/>
      <c r="E34" s="39" t="n"/>
      <c r="F34" s="37" t="n"/>
      <c r="G34" s="37" t="n"/>
      <c r="H34" s="38" t="n"/>
    </row>
    <row r="35" ht="15" customHeight="1" s="26">
      <c r="A35" s="37" t="n"/>
      <c r="B35" s="37" t="n"/>
      <c r="C35" s="38" t="n"/>
      <c r="D35" s="37" t="n"/>
      <c r="E35" s="39" t="n"/>
      <c r="F35" s="37" t="n"/>
      <c r="G35" s="37" t="n"/>
      <c r="H35" s="38" t="n"/>
    </row>
    <row r="36" ht="15" customHeight="1" s="26">
      <c r="A36" s="37" t="n"/>
      <c r="B36" s="37" t="n"/>
      <c r="C36" s="38" t="n"/>
      <c r="D36" s="37" t="n"/>
      <c r="E36" s="39" t="n"/>
      <c r="F36" s="37" t="n"/>
      <c r="G36" s="37" t="n"/>
      <c r="H36" s="38" t="n"/>
    </row>
    <row r="37" ht="15" customHeight="1" s="26">
      <c r="A37" s="37" t="n"/>
      <c r="B37" s="37" t="n"/>
      <c r="C37" s="38" t="n"/>
      <c r="D37" s="37" t="n"/>
      <c r="E37" s="39" t="n"/>
      <c r="F37" s="37" t="n"/>
      <c r="G37" s="37" t="n"/>
      <c r="H37" s="38" t="n"/>
    </row>
    <row r="38" ht="15" customHeight="1" s="26">
      <c r="A38" s="37" t="n"/>
      <c r="B38" s="37" t="n"/>
      <c r="C38" s="38" t="n"/>
      <c r="D38" s="37" t="n"/>
      <c r="E38" s="39" t="n"/>
      <c r="F38" s="37" t="n"/>
      <c r="G38" s="37" t="n"/>
      <c r="H38" s="38" t="n"/>
    </row>
    <row r="39" ht="15" customHeight="1" s="26">
      <c r="A39" s="37" t="n"/>
      <c r="B39" s="37" t="n"/>
      <c r="C39" s="38" t="n"/>
      <c r="D39" s="37" t="n"/>
      <c r="E39" s="39" t="n"/>
      <c r="F39" s="37" t="n"/>
      <c r="G39" s="37" t="n"/>
      <c r="H39" s="38" t="n"/>
    </row>
    <row r="40" ht="15" customHeight="1" s="26">
      <c r="A40" s="37" t="n"/>
      <c r="B40" s="37" t="n"/>
      <c r="C40" s="38" t="n"/>
      <c r="D40" s="37" t="n"/>
      <c r="E40" s="39" t="n"/>
      <c r="F40" s="37" t="n"/>
      <c r="G40" s="37" t="n"/>
      <c r="H40" s="38" t="n"/>
    </row>
    <row r="41" ht="15" customHeight="1" s="26">
      <c r="A41" s="37" t="n"/>
      <c r="B41" s="37" t="n"/>
      <c r="C41" s="38" t="n"/>
      <c r="D41" s="37" t="n"/>
      <c r="E41" s="39" t="n"/>
      <c r="F41" s="37" t="n"/>
      <c r="G41" s="37" t="n"/>
      <c r="H41" s="38" t="n"/>
    </row>
    <row r="42" ht="15" customHeight="1" s="26">
      <c r="A42" s="37" t="n"/>
      <c r="B42" s="37" t="n"/>
      <c r="C42" s="38" t="n"/>
      <c r="D42" s="37" t="n"/>
      <c r="E42" s="39" t="n"/>
      <c r="F42" s="37" t="n"/>
      <c r="G42" s="37" t="n"/>
      <c r="H42" s="38" t="n"/>
    </row>
    <row r="43" ht="15" customHeight="1" s="26">
      <c r="A43" s="37" t="n"/>
      <c r="B43" s="37" t="n"/>
      <c r="C43" s="38" t="n"/>
      <c r="D43" s="37" t="n"/>
      <c r="E43" s="39" t="n"/>
      <c r="F43" s="37" t="n"/>
      <c r="G43" s="37" t="n"/>
      <c r="H43" s="38" t="n"/>
    </row>
    <row r="44" ht="15" customHeight="1" s="26">
      <c r="A44" s="37" t="n"/>
      <c r="B44" s="37" t="n"/>
      <c r="C44" s="38" t="n"/>
      <c r="D44" s="37" t="n"/>
      <c r="E44" s="39" t="n"/>
      <c r="F44" s="37" t="n"/>
      <c r="G44" s="37" t="n"/>
      <c r="H44" s="38" t="n"/>
    </row>
    <row r="45" ht="15" customHeight="1" s="26">
      <c r="A45" s="37" t="n"/>
      <c r="B45" s="37" t="n"/>
      <c r="C45" s="38" t="n"/>
      <c r="D45" s="37" t="n"/>
      <c r="E45" s="39" t="n"/>
      <c r="F45" s="37" t="n"/>
      <c r="G45" s="37" t="n"/>
      <c r="H45" s="38" t="n"/>
    </row>
    <row r="46" ht="15" customHeight="1" s="26">
      <c r="A46" s="37" t="n"/>
      <c r="B46" s="37" t="n"/>
      <c r="C46" s="38" t="n"/>
      <c r="D46" s="37" t="n"/>
      <c r="E46" s="39" t="n"/>
      <c r="F46" s="37" t="n"/>
      <c r="G46" s="37" t="n"/>
      <c r="H46" s="38" t="n"/>
    </row>
    <row r="47" ht="15" customHeight="1" s="26">
      <c r="A47" s="37" t="n"/>
      <c r="B47" s="37" t="n"/>
      <c r="C47" s="38" t="n"/>
      <c r="D47" s="37" t="n"/>
      <c r="E47" s="39" t="n"/>
      <c r="F47" s="37" t="n"/>
      <c r="G47" s="37" t="n"/>
      <c r="H47" s="38" t="n"/>
    </row>
    <row r="48" ht="15" customHeight="1" s="26">
      <c r="A48" s="37" t="n"/>
      <c r="B48" s="37" t="n"/>
      <c r="C48" s="38" t="n"/>
      <c r="D48" s="37" t="n"/>
      <c r="E48" s="39" t="n"/>
      <c r="F48" s="37" t="n"/>
      <c r="G48" s="37" t="n"/>
      <c r="H48" s="38" t="n"/>
    </row>
    <row r="49" ht="15" customHeight="1" s="26">
      <c r="A49" s="37" t="n"/>
      <c r="B49" s="37" t="n"/>
      <c r="C49" s="38" t="n"/>
      <c r="D49" s="37" t="n"/>
      <c r="E49" s="39" t="n"/>
      <c r="F49" s="37" t="n"/>
      <c r="G49" s="37" t="n"/>
      <c r="H49" s="38" t="n"/>
    </row>
    <row r="50" ht="15" customHeight="1" s="26">
      <c r="A50" s="37" t="n"/>
      <c r="B50" s="37" t="n"/>
      <c r="C50" s="38" t="n"/>
      <c r="D50" s="37" t="n"/>
      <c r="E50" s="39" t="n"/>
      <c r="F50" s="37" t="n"/>
      <c r="G50" s="37" t="n"/>
      <c r="H50" s="38" t="n"/>
    </row>
    <row r="51" ht="15" customHeight="1" s="26">
      <c r="A51" s="37" t="n"/>
      <c r="B51" s="37" t="n"/>
      <c r="C51" s="38" t="n"/>
      <c r="D51" s="37" t="n"/>
      <c r="E51" s="39" t="n"/>
      <c r="F51" s="37" t="n"/>
      <c r="G51" s="37" t="n"/>
      <c r="H51" s="38" t="n"/>
    </row>
    <row r="52" ht="15" customHeight="1" s="26">
      <c r="A52" s="37" t="n"/>
      <c r="B52" s="37" t="n"/>
      <c r="C52" s="38" t="n"/>
      <c r="D52" s="37" t="n"/>
      <c r="E52" s="39" t="n"/>
      <c r="F52" s="37" t="n"/>
      <c r="G52" s="37" t="n"/>
      <c r="H52" s="38" t="n"/>
    </row>
    <row r="53" ht="15" customHeight="1" s="26">
      <c r="A53" s="37" t="n"/>
      <c r="B53" s="37" t="n"/>
      <c r="C53" s="38" t="n"/>
      <c r="D53" s="37" t="n"/>
      <c r="E53" s="39" t="n"/>
      <c r="F53" s="37" t="n"/>
      <c r="G53" s="37" t="n"/>
      <c r="H53" s="38" t="n"/>
    </row>
    <row r="54" ht="15" customHeight="1" s="26">
      <c r="A54" s="37" t="n"/>
      <c r="B54" s="37" t="n"/>
      <c r="C54" s="38" t="n"/>
      <c r="D54" s="37" t="n"/>
      <c r="E54" s="39" t="n"/>
      <c r="F54" s="37" t="n"/>
      <c r="G54" s="37" t="n"/>
      <c r="H54" s="38" t="n"/>
    </row>
    <row r="55" ht="15" customHeight="1" s="26">
      <c r="A55" s="37" t="n"/>
      <c r="B55" s="37" t="n"/>
      <c r="C55" s="38" t="n"/>
      <c r="D55" s="37" t="n"/>
      <c r="E55" s="39" t="n"/>
      <c r="F55" s="37" t="n"/>
      <c r="G55" s="37" t="n"/>
      <c r="H55" s="38" t="n"/>
    </row>
    <row r="56" ht="15" customHeight="1" s="26">
      <c r="A56" s="37" t="n"/>
      <c r="B56" s="37" t="n"/>
      <c r="C56" s="38" t="n"/>
      <c r="D56" s="37" t="n"/>
      <c r="E56" s="39" t="n"/>
      <c r="F56" s="37" t="n"/>
      <c r="G56" s="37" t="n"/>
      <c r="H56" s="38" t="n"/>
    </row>
    <row r="57" ht="15" customHeight="1" s="26">
      <c r="A57" s="37" t="n"/>
      <c r="B57" s="37" t="n"/>
      <c r="C57" s="38" t="n"/>
      <c r="D57" s="37" t="n"/>
      <c r="E57" s="39" t="n"/>
      <c r="F57" s="37" t="n"/>
      <c r="G57" s="37" t="n"/>
      <c r="H57" s="38" t="n"/>
    </row>
    <row r="58" ht="15" customHeight="1" s="26">
      <c r="A58" s="37" t="n"/>
      <c r="B58" s="37" t="n"/>
      <c r="C58" s="38" t="n"/>
      <c r="D58" s="37" t="n"/>
      <c r="E58" s="39" t="n"/>
      <c r="F58" s="37" t="n"/>
      <c r="G58" s="37" t="n"/>
      <c r="H58" s="38" t="n"/>
    </row>
    <row r="59" ht="15" customHeight="1" s="26">
      <c r="A59" s="37" t="n"/>
      <c r="B59" s="37" t="n"/>
      <c r="C59" s="38" t="n"/>
      <c r="D59" s="37" t="n"/>
      <c r="E59" s="39" t="n"/>
      <c r="F59" s="37" t="n"/>
      <c r="G59" s="37" t="n"/>
      <c r="H59" s="38" t="n"/>
    </row>
    <row r="60" ht="15" customHeight="1" s="26">
      <c r="A60" s="37" t="n"/>
      <c r="B60" s="37" t="n"/>
      <c r="C60" s="38" t="n"/>
      <c r="D60" s="37" t="n"/>
      <c r="E60" s="39" t="n"/>
      <c r="F60" s="37" t="n"/>
      <c r="G60" s="37" t="n"/>
      <c r="H60" s="38" t="n"/>
    </row>
    <row r="61" ht="15" customHeight="1" s="26">
      <c r="A61" s="37" t="n"/>
      <c r="B61" s="37" t="n"/>
      <c r="C61" s="38" t="n"/>
      <c r="D61" s="37" t="n"/>
      <c r="E61" s="39" t="n"/>
      <c r="F61" s="37" t="n"/>
      <c r="G61" s="37" t="n"/>
      <c r="H61" s="38" t="n"/>
    </row>
    <row r="62" ht="15" customHeight="1" s="26">
      <c r="A62" s="37" t="n"/>
      <c r="B62" s="37" t="n"/>
      <c r="C62" s="38" t="n"/>
      <c r="D62" s="37" t="n"/>
      <c r="E62" s="39" t="n"/>
      <c r="F62" s="37" t="n"/>
      <c r="G62" s="37" t="n"/>
      <c r="H62" s="38" t="n"/>
    </row>
    <row r="63" ht="15" customHeight="1" s="26">
      <c r="A63" s="37" t="n"/>
      <c r="B63" s="37" t="n"/>
      <c r="C63" s="38" t="n"/>
      <c r="D63" s="37" t="n"/>
      <c r="E63" s="39" t="n"/>
      <c r="F63" s="37" t="n"/>
      <c r="G63" s="37" t="n"/>
      <c r="H63" s="38" t="n"/>
    </row>
    <row r="64" ht="15" customHeight="1" s="26">
      <c r="A64" s="37" t="n"/>
      <c r="B64" s="37" t="n"/>
      <c r="C64" s="38" t="n"/>
      <c r="D64" s="37" t="n"/>
      <c r="E64" s="39" t="n"/>
      <c r="F64" s="37" t="n"/>
      <c r="G64" s="37" t="n"/>
      <c r="H64" s="38" t="n"/>
    </row>
    <row r="65" ht="15" customHeight="1" s="26">
      <c r="A65" s="37" t="n"/>
      <c r="B65" s="37" t="n"/>
      <c r="C65" s="38" t="n"/>
      <c r="D65" s="37" t="n"/>
      <c r="E65" s="39" t="n"/>
      <c r="F65" s="37" t="n"/>
      <c r="G65" s="37" t="n"/>
      <c r="H65" s="38" t="n"/>
    </row>
    <row r="66" ht="15" customHeight="1" s="26">
      <c r="A66" s="37" t="n"/>
      <c r="B66" s="37" t="n"/>
      <c r="C66" s="38" t="n"/>
      <c r="D66" s="37" t="n"/>
      <c r="E66" s="39" t="n"/>
      <c r="F66" s="37" t="n"/>
      <c r="G66" s="37" t="n"/>
      <c r="H66" s="38" t="n"/>
    </row>
    <row r="67" ht="15" customHeight="1" s="26">
      <c r="A67" s="37" t="n"/>
      <c r="B67" s="37" t="n"/>
      <c r="C67" s="38" t="n"/>
      <c r="D67" s="37" t="n"/>
      <c r="E67" s="39" t="n"/>
      <c r="F67" s="37" t="n"/>
      <c r="G67" s="37" t="n"/>
      <c r="H67" s="38" t="n"/>
    </row>
    <row r="68" ht="15" customHeight="1" s="26">
      <c r="A68" s="37" t="n"/>
      <c r="B68" s="37" t="n"/>
      <c r="C68" s="38" t="n"/>
      <c r="D68" s="37" t="n"/>
      <c r="E68" s="39" t="n"/>
      <c r="F68" s="37" t="n"/>
      <c r="G68" s="37" t="n"/>
      <c r="H68" s="38" t="n"/>
    </row>
    <row r="69" ht="15" customHeight="1" s="26">
      <c r="A69" s="37" t="n"/>
      <c r="B69" s="37" t="n"/>
      <c r="C69" s="38" t="n"/>
      <c r="D69" s="37" t="n"/>
      <c r="E69" s="39" t="n"/>
      <c r="F69" s="37" t="n"/>
      <c r="G69" s="37" t="n"/>
      <c r="H69" s="38" t="n"/>
    </row>
    <row r="70" ht="15" customHeight="1" s="26">
      <c r="A70" s="37" t="n"/>
      <c r="B70" s="37" t="n"/>
      <c r="C70" s="38" t="n"/>
      <c r="D70" s="37" t="n"/>
      <c r="E70" s="39" t="n"/>
      <c r="F70" s="37" t="n"/>
      <c r="G70" s="37" t="n"/>
      <c r="H70" s="38" t="n"/>
    </row>
    <row r="71" ht="15" customHeight="1" s="26">
      <c r="A71" s="37" t="n"/>
      <c r="B71" s="37" t="n"/>
      <c r="C71" s="38" t="n"/>
      <c r="D71" s="37" t="n"/>
      <c r="E71" s="39" t="n"/>
      <c r="F71" s="37" t="n"/>
      <c r="G71" s="37" t="n"/>
      <c r="H71" s="38" t="n"/>
    </row>
    <row r="72" ht="15" customHeight="1" s="26">
      <c r="A72" s="37" t="n"/>
      <c r="B72" s="37" t="n"/>
      <c r="C72" s="38" t="n"/>
      <c r="D72" s="37" t="n"/>
      <c r="E72" s="39" t="n"/>
      <c r="F72" s="37" t="n"/>
      <c r="G72" s="37" t="n"/>
      <c r="H72" s="38" t="n"/>
    </row>
    <row r="73" ht="15" customHeight="1" s="26">
      <c r="A73" s="37" t="n"/>
      <c r="B73" s="37" t="n"/>
      <c r="C73" s="38" t="n"/>
      <c r="D73" s="37" t="n"/>
      <c r="E73" s="39" t="n"/>
      <c r="F73" s="37" t="n"/>
      <c r="G73" s="37" t="n"/>
      <c r="H73" s="38" t="n"/>
    </row>
    <row r="74" ht="15" customHeight="1" s="26">
      <c r="A74" s="37" t="n"/>
      <c r="B74" s="37" t="n"/>
      <c r="C74" s="38" t="n"/>
      <c r="D74" s="37" t="n"/>
      <c r="E74" s="39" t="n"/>
      <c r="F74" s="37" t="n"/>
      <c r="G74" s="37" t="n"/>
      <c r="H74" s="38" t="n"/>
    </row>
    <row r="75" ht="15" customHeight="1" s="26">
      <c r="A75" s="37" t="n"/>
      <c r="B75" s="37" t="n"/>
      <c r="C75" s="38" t="n"/>
      <c r="D75" s="37" t="n"/>
      <c r="E75" s="39" t="n"/>
      <c r="F75" s="37" t="n"/>
      <c r="G75" s="37" t="n"/>
      <c r="H75" s="38" t="n"/>
    </row>
    <row r="76" ht="15" customHeight="1" s="26">
      <c r="A76" s="37" t="n"/>
      <c r="B76" s="37" t="n"/>
      <c r="C76" s="38" t="n"/>
      <c r="D76" s="37" t="n"/>
      <c r="E76" s="39" t="n"/>
      <c r="F76" s="37" t="n"/>
      <c r="G76" s="37" t="n"/>
      <c r="H76" s="38" t="n"/>
    </row>
    <row r="77" ht="15" customHeight="1" s="26">
      <c r="A77" s="37" t="n"/>
      <c r="B77" s="37" t="n"/>
      <c r="C77" s="38" t="n"/>
      <c r="D77" s="37" t="n"/>
      <c r="E77" s="39" t="n"/>
      <c r="F77" s="37" t="n"/>
      <c r="G77" s="37" t="n"/>
      <c r="H77" s="38" t="n"/>
    </row>
    <row r="78" ht="15" customHeight="1" s="26">
      <c r="A78" s="37" t="n"/>
      <c r="B78" s="37" t="n"/>
      <c r="C78" s="38" t="n"/>
      <c r="D78" s="37" t="n"/>
      <c r="E78" s="39" t="n"/>
      <c r="F78" s="37" t="n"/>
      <c r="G78" s="37" t="n"/>
      <c r="H78" s="38" t="n"/>
    </row>
    <row r="79" ht="15" customHeight="1" s="26">
      <c r="A79" s="37" t="n"/>
      <c r="B79" s="37" t="n"/>
      <c r="C79" s="38" t="n"/>
      <c r="D79" s="37" t="n"/>
      <c r="E79" s="39" t="n"/>
      <c r="F79" s="37" t="n"/>
      <c r="G79" s="37" t="n"/>
      <c r="H79" s="38" t="n"/>
    </row>
    <row r="80" ht="15" customHeight="1" s="26">
      <c r="A80" s="37" t="n"/>
      <c r="B80" s="37" t="n"/>
      <c r="C80" s="38" t="n"/>
      <c r="D80" s="37" t="n"/>
      <c r="E80" s="39" t="n"/>
      <c r="F80" s="37" t="n"/>
      <c r="G80" s="37" t="n"/>
      <c r="H80" s="38" t="n"/>
    </row>
    <row r="81" ht="15" customHeight="1" s="26">
      <c r="A81" s="37" t="n"/>
      <c r="B81" s="37" t="n"/>
      <c r="C81" s="38" t="n"/>
      <c r="D81" s="37" t="n"/>
      <c r="E81" s="39" t="n"/>
      <c r="F81" s="37" t="n"/>
      <c r="G81" s="37" t="n"/>
      <c r="H81" s="38" t="n"/>
    </row>
    <row r="82" ht="15" customHeight="1" s="26">
      <c r="A82" s="37" t="n"/>
      <c r="B82" s="37" t="n"/>
      <c r="C82" s="38" t="n"/>
      <c r="D82" s="37" t="n"/>
      <c r="E82" s="39" t="n"/>
      <c r="F82" s="37" t="n"/>
      <c r="G82" s="37" t="n"/>
      <c r="H82" s="38" t="n"/>
    </row>
    <row r="83" ht="15" customHeight="1" s="26">
      <c r="A83" s="37" t="n"/>
      <c r="B83" s="37" t="n"/>
      <c r="C83" s="38" t="n"/>
      <c r="D83" s="37" t="n"/>
      <c r="E83" s="39" t="n"/>
      <c r="F83" s="37" t="n"/>
      <c r="G83" s="37" t="n"/>
      <c r="H83" s="38" t="n"/>
    </row>
    <row r="84" ht="15" customHeight="1" s="26">
      <c r="A84" s="37" t="n"/>
      <c r="B84" s="37" t="n"/>
      <c r="C84" s="38" t="n"/>
      <c r="D84" s="37" t="n"/>
      <c r="E84" s="39" t="n"/>
      <c r="F84" s="37" t="n"/>
      <c r="G84" s="37" t="n"/>
      <c r="H84" s="38" t="n"/>
    </row>
    <row r="85" ht="15" customHeight="1" s="26">
      <c r="A85" s="37" t="n"/>
      <c r="B85" s="37" t="n"/>
      <c r="C85" s="38" t="n"/>
      <c r="D85" s="37" t="n"/>
      <c r="E85" s="39" t="n"/>
      <c r="F85" s="37" t="n"/>
      <c r="G85" s="37" t="n"/>
      <c r="H85" s="38" t="n"/>
    </row>
    <row r="86" ht="15" customHeight="1" s="26">
      <c r="A86" s="37" t="n"/>
      <c r="B86" s="37" t="n"/>
      <c r="C86" s="38" t="n"/>
      <c r="D86" s="37" t="n"/>
      <c r="E86" s="39" t="n"/>
      <c r="F86" s="37" t="n"/>
      <c r="G86" s="37" t="n"/>
      <c r="H86" s="38" t="n"/>
    </row>
    <row r="87" ht="15" customHeight="1" s="26">
      <c r="A87" s="37" t="n"/>
      <c r="B87" s="37" t="n"/>
      <c r="C87" s="38" t="n"/>
      <c r="D87" s="37" t="n"/>
      <c r="E87" s="39" t="n"/>
      <c r="F87" s="37" t="n"/>
      <c r="G87" s="37" t="n"/>
      <c r="H87" s="38" t="n"/>
    </row>
    <row r="88" ht="15" customHeight="1" s="26">
      <c r="A88" s="37" t="n"/>
      <c r="B88" s="37" t="n"/>
      <c r="C88" s="38" t="n"/>
      <c r="D88" s="37" t="n"/>
      <c r="E88" s="39" t="n"/>
      <c r="F88" s="37" t="n"/>
      <c r="G88" s="37" t="n"/>
      <c r="H88" s="38" t="n"/>
    </row>
    <row r="89" ht="15" customHeight="1" s="26">
      <c r="A89" s="37" t="n"/>
      <c r="B89" s="37" t="n"/>
      <c r="C89" s="38" t="n"/>
      <c r="D89" s="37" t="n"/>
      <c r="E89" s="39" t="n"/>
      <c r="F89" s="37" t="n"/>
      <c r="G89" s="37" t="n"/>
      <c r="H89" s="38" t="n"/>
    </row>
    <row r="90" ht="15" customHeight="1" s="26">
      <c r="A90" s="37" t="n"/>
      <c r="B90" s="37" t="n"/>
      <c r="C90" s="38" t="n"/>
      <c r="D90" s="37" t="n"/>
      <c r="E90" s="39" t="n"/>
      <c r="F90" s="37" t="n"/>
      <c r="G90" s="37" t="n"/>
      <c r="H90" s="38" t="n"/>
    </row>
    <row r="91" ht="15" customHeight="1" s="26">
      <c r="A91" s="37" t="n"/>
      <c r="B91" s="37" t="n"/>
      <c r="C91" s="38" t="n"/>
      <c r="D91" s="37" t="n"/>
      <c r="E91" s="39" t="n"/>
      <c r="F91" s="37" t="n"/>
      <c r="G91" s="37" t="n"/>
      <c r="H91" s="38" t="n"/>
    </row>
    <row r="92" ht="15" customHeight="1" s="26">
      <c r="A92" s="37" t="n"/>
      <c r="B92" s="37" t="n"/>
      <c r="C92" s="38" t="n"/>
      <c r="D92" s="37" t="n"/>
      <c r="E92" s="39" t="n"/>
      <c r="F92" s="37" t="n"/>
      <c r="G92" s="37" t="n"/>
      <c r="H92" s="38" t="n"/>
    </row>
    <row r="93" ht="15" customHeight="1" s="26">
      <c r="A93" s="37" t="n"/>
      <c r="B93" s="37" t="n"/>
      <c r="C93" s="38" t="n"/>
      <c r="D93" s="37" t="n"/>
      <c r="E93" s="39" t="n"/>
      <c r="F93" s="37" t="n"/>
      <c r="G93" s="37" t="n"/>
      <c r="H93" s="38" t="n"/>
    </row>
    <row r="94" ht="15" customHeight="1" s="26">
      <c r="A94" s="37" t="n"/>
      <c r="B94" s="37" t="n"/>
      <c r="C94" s="38" t="n"/>
      <c r="D94" s="37" t="n"/>
      <c r="E94" s="39" t="n"/>
      <c r="F94" s="37" t="n"/>
      <c r="G94" s="37" t="n"/>
      <c r="H94" s="38" t="n"/>
    </row>
    <row r="95" ht="15" customHeight="1" s="26">
      <c r="A95" s="37" t="n"/>
      <c r="B95" s="37" t="n"/>
      <c r="C95" s="38" t="n"/>
      <c r="D95" s="37" t="n"/>
      <c r="E95" s="39" t="n"/>
      <c r="F95" s="37" t="n"/>
      <c r="G95" s="37" t="n"/>
      <c r="H95" s="38" t="n"/>
    </row>
    <row r="96" ht="15" customHeight="1" s="26">
      <c r="A96" s="37" t="n"/>
      <c r="B96" s="37" t="n"/>
      <c r="C96" s="38" t="n"/>
      <c r="D96" s="37" t="n"/>
      <c r="E96" s="39" t="n"/>
      <c r="F96" s="37" t="n"/>
      <c r="G96" s="37" t="n"/>
      <c r="H96" s="38" t="n"/>
    </row>
    <row r="97" ht="15" customHeight="1" s="26">
      <c r="A97" s="37" t="n"/>
      <c r="B97" s="37" t="n"/>
      <c r="C97" s="38" t="n"/>
      <c r="D97" s="37" t="n"/>
      <c r="E97" s="39" t="n"/>
      <c r="F97" s="37" t="n"/>
      <c r="G97" s="37" t="n"/>
      <c r="H97" s="38" t="n"/>
    </row>
    <row r="98" ht="15" customHeight="1" s="26">
      <c r="A98" s="37" t="n"/>
      <c r="B98" s="37" t="n"/>
      <c r="C98" s="38" t="n"/>
      <c r="D98" s="37" t="n"/>
      <c r="E98" s="39" t="n"/>
      <c r="F98" s="37" t="n"/>
      <c r="G98" s="37" t="n"/>
      <c r="H98" s="38" t="n"/>
    </row>
    <row r="99" ht="15" customHeight="1" s="26">
      <c r="A99" s="37" t="n"/>
      <c r="B99" s="37" t="n"/>
      <c r="C99" s="38" t="n"/>
      <c r="D99" s="37" t="n"/>
      <c r="E99" s="39" t="n"/>
      <c r="F99" s="37" t="n"/>
      <c r="G99" s="37" t="n"/>
      <c r="H99" s="38" t="n"/>
    </row>
    <row r="100" ht="15" customHeight="1" s="26">
      <c r="A100" s="37" t="n"/>
      <c r="B100" s="37" t="n"/>
      <c r="C100" s="38" t="n"/>
      <c r="D100" s="37" t="n"/>
      <c r="E100" s="39" t="n"/>
      <c r="F100" s="37" t="n"/>
      <c r="G100" s="37" t="n"/>
      <c r="H100" s="38" t="n"/>
    </row>
    <row r="101" ht="15" customHeight="1" s="26">
      <c r="A101" s="37" t="n"/>
      <c r="B101" s="37" t="n"/>
      <c r="C101" s="38" t="n"/>
      <c r="D101" s="37" t="n"/>
      <c r="E101" s="39" t="n"/>
      <c r="F101" s="37" t="n"/>
      <c r="G101" s="37" t="n"/>
      <c r="H101" s="38" t="n"/>
    </row>
    <row r="102" ht="15" customHeight="1" s="26">
      <c r="A102" s="37" t="n"/>
      <c r="B102" s="37" t="n"/>
      <c r="C102" s="38" t="n"/>
      <c r="D102" s="37" t="n"/>
      <c r="E102" s="39" t="n"/>
      <c r="F102" s="37" t="n"/>
      <c r="G102" s="37" t="n"/>
      <c r="H102" s="38" t="n"/>
    </row>
    <row r="103" ht="15" customHeight="1" s="26">
      <c r="A103" s="37" t="n"/>
      <c r="B103" s="37" t="n"/>
      <c r="C103" s="38" t="n"/>
      <c r="D103" s="37" t="n"/>
      <c r="E103" s="39" t="n"/>
      <c r="F103" s="37" t="n"/>
      <c r="G103" s="37" t="n"/>
      <c r="H103" s="38" t="n"/>
    </row>
    <row r="104" ht="15" customHeight="1" s="26">
      <c r="A104" s="37" t="n"/>
      <c r="B104" s="37" t="n"/>
      <c r="C104" s="38" t="n"/>
      <c r="D104" s="37" t="n"/>
      <c r="E104" s="39" t="n"/>
      <c r="F104" s="37" t="n"/>
      <c r="G104" s="37" t="n"/>
      <c r="H104" s="38" t="n"/>
    </row>
    <row r="105" ht="15" customHeight="1" s="26">
      <c r="A105" s="37" t="n"/>
      <c r="B105" s="37" t="n"/>
      <c r="C105" s="38" t="n"/>
      <c r="D105" s="37" t="n"/>
      <c r="E105" s="39" t="n"/>
      <c r="F105" s="37" t="n"/>
      <c r="G105" s="37" t="n"/>
      <c r="H105" s="38" t="n"/>
    </row>
    <row r="106" ht="15" customHeight="1" s="26">
      <c r="A106" s="37" t="n"/>
      <c r="B106" s="37" t="n"/>
      <c r="C106" s="38" t="n"/>
      <c r="D106" s="37" t="n"/>
      <c r="E106" s="39" t="n"/>
      <c r="F106" s="37" t="n"/>
      <c r="G106" s="37" t="n"/>
      <c r="H106" s="38" t="n"/>
    </row>
    <row r="107" ht="15" customHeight="1" s="26">
      <c r="A107" s="37" t="n"/>
      <c r="B107" s="37" t="n"/>
      <c r="C107" s="38" t="n"/>
      <c r="D107" s="37" t="n"/>
      <c r="E107" s="39" t="n"/>
      <c r="F107" s="37" t="n"/>
      <c r="G107" s="37" t="n"/>
      <c r="H107" s="38" t="n"/>
    </row>
    <row r="108" ht="15" customHeight="1" s="26">
      <c r="A108" s="37" t="n"/>
      <c r="B108" s="37" t="n"/>
      <c r="C108" s="38" t="n"/>
      <c r="D108" s="37" t="n"/>
      <c r="E108" s="39" t="n"/>
      <c r="F108" s="37" t="n"/>
      <c r="G108" s="37" t="n"/>
      <c r="H108" s="38" t="n"/>
    </row>
    <row r="109" ht="15" customHeight="1" s="26">
      <c r="A109" s="37" t="n"/>
      <c r="B109" s="37" t="n"/>
      <c r="C109" s="38" t="n"/>
      <c r="D109" s="37" t="n"/>
      <c r="E109" s="39" t="n"/>
      <c r="F109" s="37" t="n"/>
      <c r="G109" s="37" t="n"/>
      <c r="H109" s="38" t="n"/>
    </row>
    <row r="110" ht="15" customHeight="1" s="26">
      <c r="A110" s="37" t="n"/>
      <c r="B110" s="37" t="n"/>
      <c r="C110" s="38" t="n"/>
      <c r="D110" s="37" t="n"/>
      <c r="E110" s="39" t="n"/>
      <c r="F110" s="37" t="n"/>
      <c r="G110" s="37" t="n"/>
      <c r="H110" s="38" t="n"/>
    </row>
    <row r="111" ht="15" customHeight="1" s="26">
      <c r="A111" s="37" t="n"/>
      <c r="B111" s="37" t="n"/>
      <c r="C111" s="38" t="n"/>
      <c r="D111" s="37" t="n"/>
      <c r="E111" s="39" t="n"/>
      <c r="F111" s="37" t="n"/>
      <c r="G111" s="37" t="n"/>
      <c r="H111" s="38" t="n"/>
    </row>
    <row r="112" ht="15" customHeight="1" s="26">
      <c r="A112" s="37" t="n"/>
      <c r="B112" s="37" t="n"/>
      <c r="C112" s="38" t="n"/>
      <c r="D112" s="37" t="n"/>
      <c r="E112" s="39" t="n"/>
      <c r="F112" s="37" t="n"/>
      <c r="G112" s="37" t="n"/>
      <c r="H112" s="38" t="n"/>
    </row>
    <row r="113" ht="15" customHeight="1" s="26">
      <c r="A113" s="37" t="n"/>
      <c r="B113" s="37" t="n"/>
      <c r="C113" s="38" t="n"/>
      <c r="D113" s="37" t="n"/>
      <c r="E113" s="39" t="n"/>
      <c r="F113" s="37" t="n"/>
      <c r="G113" s="37" t="n"/>
      <c r="H113" s="38" t="n"/>
    </row>
    <row r="114" ht="15" customHeight="1" s="26">
      <c r="A114" s="37" t="n"/>
      <c r="B114" s="37" t="n"/>
      <c r="C114" s="38" t="n"/>
      <c r="D114" s="37" t="n"/>
      <c r="E114" s="39" t="n"/>
      <c r="F114" s="37" t="n"/>
      <c r="G114" s="37" t="n"/>
      <c r="H114" s="38" t="n"/>
    </row>
    <row r="115" ht="15" customHeight="1" s="26">
      <c r="A115" s="37" t="n"/>
      <c r="B115" s="37" t="n"/>
      <c r="C115" s="38" t="n"/>
      <c r="D115" s="37" t="n"/>
      <c r="E115" s="39" t="n"/>
      <c r="F115" s="37" t="n"/>
      <c r="G115" s="37" t="n"/>
      <c r="H115" s="38" t="n"/>
    </row>
    <row r="116" ht="15" customHeight="1" s="26">
      <c r="A116" s="37" t="n"/>
      <c r="B116" s="37" t="n"/>
      <c r="C116" s="38" t="n"/>
      <c r="D116" s="37" t="n"/>
      <c r="E116" s="39" t="n"/>
      <c r="F116" s="37" t="n"/>
      <c r="G116" s="37" t="n"/>
      <c r="H116" s="38" t="n"/>
    </row>
    <row r="117" ht="15" customHeight="1" s="26">
      <c r="A117" s="37" t="n"/>
      <c r="B117" s="37" t="n"/>
      <c r="C117" s="38" t="n"/>
      <c r="D117" s="37" t="n"/>
      <c r="E117" s="39" t="n"/>
      <c r="F117" s="37" t="n"/>
      <c r="G117" s="37" t="n"/>
      <c r="H117" s="38" t="n"/>
    </row>
    <row r="118" ht="15" customHeight="1" s="26">
      <c r="A118" s="37" t="n"/>
      <c r="B118" s="37" t="n"/>
      <c r="C118" s="38" t="n"/>
      <c r="D118" s="37" t="n"/>
      <c r="E118" s="39" t="n"/>
      <c r="F118" s="37" t="n"/>
      <c r="G118" s="37" t="n"/>
      <c r="H118" s="38" t="n"/>
    </row>
    <row r="119" ht="15" customHeight="1" s="26">
      <c r="A119" s="37" t="n"/>
      <c r="B119" s="37" t="n"/>
      <c r="C119" s="38" t="n"/>
      <c r="D119" s="37" t="n"/>
      <c r="E119" s="39" t="n"/>
      <c r="F119" s="37" t="n"/>
      <c r="G119" s="37" t="n"/>
      <c r="H119" s="38" t="n"/>
    </row>
    <row r="120" ht="15" customHeight="1" s="26">
      <c r="A120" s="37" t="n"/>
      <c r="B120" s="37" t="n"/>
      <c r="C120" s="38" t="n"/>
      <c r="D120" s="37" t="n"/>
      <c r="E120" s="39" t="n"/>
      <c r="F120" s="37" t="n"/>
      <c r="G120" s="37" t="n"/>
      <c r="H120" s="38" t="n"/>
    </row>
    <row r="121" ht="15" customHeight="1" s="26">
      <c r="A121" s="37" t="n"/>
      <c r="B121" s="37" t="n"/>
      <c r="C121" s="38" t="n"/>
      <c r="D121" s="37" t="n"/>
      <c r="E121" s="39" t="n"/>
      <c r="F121" s="37" t="n"/>
      <c r="G121" s="37" t="n"/>
      <c r="H121" s="38" t="n"/>
    </row>
    <row r="122" ht="15" customHeight="1" s="26">
      <c r="A122" s="37" t="n"/>
      <c r="B122" s="37" t="n"/>
      <c r="C122" s="38" t="n"/>
      <c r="D122" s="37" t="n"/>
      <c r="E122" s="39" t="n"/>
      <c r="F122" s="37" t="n"/>
      <c r="G122" s="37" t="n"/>
      <c r="H122" s="38" t="n"/>
    </row>
    <row r="123" ht="15" customHeight="1" s="26">
      <c r="A123" s="37" t="n"/>
      <c r="B123" s="37" t="n"/>
      <c r="C123" s="38" t="n"/>
      <c r="D123" s="37" t="n"/>
      <c r="E123" s="39" t="n"/>
      <c r="F123" s="37" t="n"/>
      <c r="G123" s="37" t="n"/>
      <c r="H123" s="38" t="n"/>
    </row>
    <row r="124" ht="15" customHeight="1" s="26">
      <c r="A124" s="37" t="n"/>
      <c r="B124" s="37" t="n"/>
      <c r="C124" s="38" t="n"/>
      <c r="D124" s="37" t="n"/>
      <c r="E124" s="39" t="n"/>
      <c r="F124" s="37" t="n"/>
      <c r="G124" s="37" t="n"/>
      <c r="H124" s="38" t="n"/>
    </row>
    <row r="125" ht="15" customHeight="1" s="26">
      <c r="A125" s="37" t="n"/>
      <c r="B125" s="37" t="n"/>
      <c r="C125" s="38" t="n"/>
      <c r="D125" s="37" t="n"/>
      <c r="E125" s="39" t="n"/>
      <c r="F125" s="37" t="n"/>
      <c r="G125" s="37" t="n"/>
      <c r="H125" s="38" t="n"/>
    </row>
    <row r="126" ht="15" customHeight="1" s="26">
      <c r="A126" s="37" t="n"/>
      <c r="B126" s="37" t="n"/>
      <c r="C126" s="38" t="n"/>
      <c r="D126" s="37" t="n"/>
      <c r="E126" s="39" t="n"/>
      <c r="F126" s="37" t="n"/>
      <c r="G126" s="37" t="n"/>
      <c r="H126" s="38" t="n"/>
    </row>
    <row r="127" ht="15" customHeight="1" s="26">
      <c r="A127" s="37" t="n"/>
      <c r="B127" s="37" t="n"/>
      <c r="C127" s="38" t="n"/>
      <c r="D127" s="37" t="n"/>
      <c r="E127" s="39" t="n"/>
      <c r="F127" s="37" t="n"/>
      <c r="G127" s="37" t="n"/>
      <c r="H127" s="38" t="n"/>
    </row>
    <row r="128" ht="15" customHeight="1" s="26">
      <c r="A128" s="37" t="n"/>
      <c r="B128" s="37" t="n"/>
      <c r="C128" s="38" t="n"/>
      <c r="D128" s="37" t="n"/>
      <c r="E128" s="39" t="n"/>
      <c r="F128" s="37" t="n"/>
      <c r="G128" s="37" t="n"/>
      <c r="H128" s="38" t="n"/>
    </row>
    <row r="129" ht="15" customHeight="1" s="26">
      <c r="A129" s="37" t="n"/>
      <c r="B129" s="37" t="n"/>
      <c r="C129" s="38" t="n"/>
      <c r="D129" s="37" t="n"/>
      <c r="E129" s="39" t="n"/>
      <c r="F129" s="37" t="n"/>
      <c r="G129" s="37" t="n"/>
      <c r="H129" s="38" t="n"/>
    </row>
    <row r="130" ht="15" customHeight="1" s="26">
      <c r="A130" s="37" t="n"/>
      <c r="B130" s="37" t="n"/>
      <c r="C130" s="38" t="n"/>
      <c r="D130" s="37" t="n"/>
      <c r="E130" s="39" t="n"/>
      <c r="F130" s="37" t="n"/>
      <c r="G130" s="37" t="n"/>
      <c r="H130" s="38" t="n"/>
    </row>
    <row r="131" ht="15" customHeight="1" s="26">
      <c r="A131" s="37" t="n"/>
      <c r="B131" s="37" t="n"/>
      <c r="C131" s="38" t="n"/>
      <c r="D131" s="37" t="n"/>
      <c r="E131" s="39" t="n"/>
      <c r="F131" s="37" t="n"/>
      <c r="G131" s="37" t="n"/>
      <c r="H131" s="38" t="n"/>
    </row>
    <row r="132" ht="15" customHeight="1" s="26">
      <c r="A132" s="37" t="n"/>
      <c r="B132" s="37" t="n"/>
      <c r="C132" s="38" t="n"/>
      <c r="D132" s="37" t="n"/>
      <c r="E132" s="39" t="n"/>
      <c r="F132" s="37" t="n"/>
      <c r="G132" s="37" t="n"/>
      <c r="H132" s="38" t="n"/>
    </row>
    <row r="133" ht="15" customHeight="1" s="26">
      <c r="A133" s="37" t="n"/>
      <c r="B133" s="37" t="n"/>
      <c r="C133" s="38" t="n"/>
      <c r="D133" s="37" t="n"/>
      <c r="E133" s="39" t="n"/>
      <c r="F133" s="37" t="n"/>
      <c r="G133" s="37" t="n"/>
      <c r="H133" s="38" t="n"/>
    </row>
    <row r="134" ht="15" customHeight="1" s="26">
      <c r="A134" s="37" t="n"/>
      <c r="B134" s="37" t="n"/>
      <c r="C134" s="38" t="n"/>
      <c r="D134" s="37" t="n"/>
      <c r="E134" s="39" t="n"/>
      <c r="F134" s="37" t="n"/>
      <c r="G134" s="37" t="n"/>
      <c r="H134" s="38" t="n"/>
    </row>
    <row r="135" ht="15" customHeight="1" s="26">
      <c r="A135" s="37" t="n"/>
      <c r="B135" s="37" t="n"/>
      <c r="C135" s="38" t="n"/>
      <c r="D135" s="37" t="n"/>
      <c r="E135" s="39" t="n"/>
      <c r="F135" s="37" t="n"/>
      <c r="G135" s="37" t="n"/>
      <c r="H135" s="38" t="n"/>
    </row>
    <row r="136" ht="15" customHeight="1" s="26">
      <c r="A136" s="37" t="n"/>
      <c r="B136" s="37" t="n"/>
      <c r="C136" s="38" t="n"/>
      <c r="D136" s="37" t="n"/>
      <c r="E136" s="39" t="n"/>
      <c r="F136" s="37" t="n"/>
      <c r="G136" s="37" t="n"/>
      <c r="H136" s="38" t="n"/>
    </row>
    <row r="137" ht="15" customHeight="1" s="26">
      <c r="A137" s="37" t="n"/>
      <c r="B137" s="37" t="n"/>
      <c r="C137" s="38" t="n"/>
      <c r="D137" s="37" t="n"/>
      <c r="E137" s="39" t="n"/>
      <c r="F137" s="37" t="n"/>
      <c r="G137" s="37" t="n"/>
      <c r="H137" s="38" t="n"/>
    </row>
    <row r="138" ht="15" customHeight="1" s="26">
      <c r="A138" s="37" t="n"/>
      <c r="B138" s="37" t="n"/>
      <c r="C138" s="38" t="n"/>
      <c r="D138" s="37" t="n"/>
      <c r="E138" s="39" t="n"/>
      <c r="F138" s="37" t="n"/>
      <c r="G138" s="37" t="n"/>
      <c r="H138" s="38" t="n"/>
    </row>
    <row r="139" ht="15" customHeight="1" s="26">
      <c r="A139" s="37" t="n"/>
      <c r="B139" s="37" t="n"/>
      <c r="C139" s="38" t="n"/>
      <c r="D139" s="37" t="n"/>
      <c r="E139" s="39" t="n"/>
      <c r="F139" s="37" t="n"/>
      <c r="G139" s="37" t="n"/>
      <c r="H139" s="38" t="n"/>
    </row>
    <row r="140" ht="15" customHeight="1" s="26">
      <c r="A140" s="37" t="n"/>
      <c r="B140" s="37" t="n"/>
      <c r="C140" s="38" t="n"/>
      <c r="D140" s="37" t="n"/>
      <c r="E140" s="39" t="n"/>
      <c r="F140" s="37" t="n"/>
      <c r="G140" s="37" t="n"/>
      <c r="H140" s="38" t="n"/>
    </row>
    <row r="141" ht="15" customHeight="1" s="26">
      <c r="A141" s="37" t="n"/>
      <c r="B141" s="37" t="n"/>
      <c r="C141" s="38" t="n"/>
      <c r="D141" s="37" t="n"/>
      <c r="E141" s="39" t="n"/>
      <c r="F141" s="37" t="n"/>
      <c r="G141" s="37" t="n"/>
      <c r="H141" s="38" t="n"/>
    </row>
    <row r="142" ht="15" customHeight="1" s="26">
      <c r="A142" s="37" t="n"/>
      <c r="B142" s="37" t="n"/>
      <c r="C142" s="38" t="n"/>
      <c r="D142" s="37" t="n"/>
      <c r="E142" s="39" t="n"/>
      <c r="F142" s="37" t="n"/>
      <c r="G142" s="37" t="n"/>
      <c r="H142" s="38" t="n"/>
    </row>
    <row r="143" ht="15" customHeight="1" s="26">
      <c r="A143" s="37" t="n"/>
      <c r="B143" s="37" t="n"/>
      <c r="C143" s="38" t="n"/>
      <c r="D143" s="37" t="n"/>
      <c r="E143" s="39" t="n"/>
      <c r="F143" s="37" t="n"/>
      <c r="G143" s="37" t="n"/>
      <c r="H143" s="38" t="n"/>
    </row>
    <row r="144" ht="15" customHeight="1" s="26">
      <c r="A144" s="37" t="n"/>
      <c r="B144" s="37" t="n"/>
      <c r="C144" s="38" t="n"/>
      <c r="D144" s="37" t="n"/>
      <c r="E144" s="39" t="n"/>
      <c r="F144" s="37" t="n"/>
      <c r="G144" s="37" t="n"/>
      <c r="H144" s="38" t="n"/>
    </row>
    <row r="145" ht="15" customHeight="1" s="26">
      <c r="A145" s="37" t="n"/>
      <c r="B145" s="37" t="n"/>
      <c r="C145" s="38" t="n"/>
      <c r="D145" s="37" t="n"/>
      <c r="E145" s="39" t="n"/>
      <c r="F145" s="37" t="n"/>
      <c r="G145" s="37" t="n"/>
      <c r="H145" s="38" t="n"/>
    </row>
    <row r="146" ht="15" customHeight="1" s="26">
      <c r="A146" s="37" t="n"/>
      <c r="B146" s="37" t="n"/>
      <c r="C146" s="38" t="n"/>
      <c r="D146" s="37" t="n"/>
      <c r="E146" s="39" t="n"/>
      <c r="F146" s="37" t="n"/>
      <c r="G146" s="37" t="n"/>
      <c r="H146" s="38" t="n"/>
    </row>
    <row r="147" ht="15" customHeight="1" s="26">
      <c r="A147" s="37" t="n"/>
      <c r="B147" s="37" t="n"/>
      <c r="C147" s="38" t="n"/>
      <c r="D147" s="37" t="n"/>
      <c r="E147" s="39" t="n"/>
      <c r="F147" s="37" t="n"/>
      <c r="G147" s="37" t="n"/>
      <c r="H147" s="38" t="n"/>
    </row>
    <row r="148" ht="15" customHeight="1" s="26">
      <c r="A148" s="37" t="n"/>
      <c r="B148" s="37" t="n"/>
      <c r="C148" s="38" t="n"/>
      <c r="D148" s="37" t="n"/>
      <c r="E148" s="39" t="n"/>
      <c r="F148" s="37" t="n"/>
      <c r="G148" s="37" t="n"/>
      <c r="H148" s="38" t="n"/>
    </row>
    <row r="149" ht="15" customHeight="1" s="26">
      <c r="A149" s="37" t="n"/>
      <c r="B149" s="37" t="n"/>
      <c r="C149" s="38" t="n"/>
      <c r="D149" s="37" t="n"/>
      <c r="E149" s="39" t="n"/>
      <c r="F149" s="37" t="n"/>
      <c r="G149" s="37" t="n"/>
      <c r="H149" s="38" t="n"/>
    </row>
    <row r="150" ht="15" customHeight="1" s="26">
      <c r="A150" s="37" t="n"/>
      <c r="B150" s="37" t="n"/>
      <c r="C150" s="38" t="n"/>
      <c r="D150" s="37" t="n"/>
      <c r="E150" s="39" t="n"/>
      <c r="F150" s="37" t="n"/>
      <c r="G150" s="37" t="n"/>
      <c r="H150" s="38" t="n"/>
    </row>
    <row r="151" ht="15" customHeight="1" s="26">
      <c r="A151" s="37" t="n"/>
      <c r="B151" s="37" t="n"/>
      <c r="C151" s="38" t="n"/>
      <c r="D151" s="37" t="n"/>
      <c r="E151" s="39" t="n"/>
      <c r="F151" s="37" t="n"/>
      <c r="G151" s="37" t="n"/>
      <c r="H151" s="38" t="n"/>
    </row>
    <row r="152" ht="15" customHeight="1" s="26">
      <c r="A152" s="37" t="n"/>
      <c r="B152" s="37" t="n"/>
      <c r="C152" s="38" t="n"/>
      <c r="D152" s="37" t="n"/>
      <c r="E152" s="39" t="n"/>
      <c r="F152" s="37" t="n"/>
      <c r="G152" s="37" t="n"/>
      <c r="H152" s="38" t="n"/>
    </row>
    <row r="153" ht="15" customHeight="1" s="26">
      <c r="A153" s="37" t="n"/>
      <c r="B153" s="37" t="n"/>
      <c r="C153" s="38" t="n"/>
      <c r="D153" s="37" t="n"/>
      <c r="E153" s="39" t="n"/>
      <c r="F153" s="37" t="n"/>
      <c r="G153" s="37" t="n"/>
      <c r="H153" s="38" t="n"/>
    </row>
    <row r="154" ht="15" customHeight="1" s="26">
      <c r="A154" s="37" t="n"/>
      <c r="B154" s="37" t="n"/>
      <c r="C154" s="38" t="n"/>
      <c r="D154" s="37" t="n"/>
      <c r="E154" s="39" t="n"/>
      <c r="F154" s="37" t="n"/>
      <c r="G154" s="37" t="n"/>
      <c r="H154" s="38" t="n"/>
    </row>
    <row r="155" ht="15" customHeight="1" s="26">
      <c r="A155" s="37" t="n"/>
      <c r="B155" s="37" t="n"/>
      <c r="C155" s="38" t="n"/>
      <c r="D155" s="37" t="n"/>
      <c r="E155" s="39" t="n"/>
      <c r="F155" s="37" t="n"/>
      <c r="G155" s="37" t="n"/>
      <c r="H155" s="38" t="n"/>
    </row>
    <row r="156" ht="15" customHeight="1" s="26">
      <c r="A156" s="37" t="n"/>
      <c r="B156" s="37" t="n"/>
      <c r="C156" s="38" t="n"/>
      <c r="D156" s="37" t="n"/>
      <c r="E156" s="39" t="n"/>
      <c r="F156" s="37" t="n"/>
      <c r="G156" s="37" t="n"/>
      <c r="H156" s="38" t="n"/>
    </row>
    <row r="157" ht="15" customHeight="1" s="26">
      <c r="A157" s="37" t="n"/>
      <c r="B157" s="37" t="n"/>
      <c r="C157" s="38" t="n"/>
      <c r="D157" s="37" t="n"/>
      <c r="E157" s="39" t="n"/>
      <c r="F157" s="37" t="n"/>
      <c r="G157" s="37" t="n"/>
      <c r="H157" s="38" t="n"/>
    </row>
    <row r="158" ht="15" customHeight="1" s="26">
      <c r="A158" s="37" t="n"/>
      <c r="B158" s="37" t="n"/>
      <c r="C158" s="38" t="n"/>
      <c r="D158" s="37" t="n"/>
      <c r="E158" s="39" t="n"/>
      <c r="F158" s="37" t="n"/>
      <c r="G158" s="37" t="n"/>
      <c r="H158" s="38" t="n"/>
    </row>
    <row r="159" ht="15" customHeight="1" s="26">
      <c r="A159" s="37" t="n"/>
      <c r="B159" s="37" t="n"/>
      <c r="C159" s="38" t="n"/>
      <c r="D159" s="37" t="n"/>
      <c r="E159" s="39" t="n"/>
      <c r="F159" s="37" t="n"/>
      <c r="G159" s="37" t="n"/>
      <c r="H159" s="38" t="n"/>
    </row>
    <row r="160" ht="15" customHeight="1" s="26">
      <c r="A160" s="37" t="n"/>
      <c r="B160" s="37" t="n"/>
      <c r="C160" s="38" t="n"/>
      <c r="D160" s="37" t="n"/>
      <c r="E160" s="39" t="n"/>
      <c r="F160" s="37" t="n"/>
      <c r="G160" s="37" t="n"/>
      <c r="H160" s="38" t="n"/>
    </row>
    <row r="161" ht="15" customHeight="1" s="26">
      <c r="A161" s="37" t="n"/>
      <c r="B161" s="37" t="n"/>
      <c r="C161" s="38" t="n"/>
      <c r="D161" s="37" t="n"/>
      <c r="E161" s="39" t="n"/>
      <c r="F161" s="37" t="n"/>
      <c r="G161" s="37" t="n"/>
      <c r="H161" s="38" t="n"/>
    </row>
    <row r="162" ht="15" customHeight="1" s="26">
      <c r="A162" s="37" t="n"/>
      <c r="B162" s="37" t="n"/>
      <c r="C162" s="38" t="n"/>
      <c r="D162" s="37" t="n"/>
      <c r="E162" s="39" t="n"/>
      <c r="F162" s="37" t="n"/>
      <c r="G162" s="37" t="n"/>
      <c r="H162" s="38" t="n"/>
    </row>
    <row r="163" ht="15" customHeight="1" s="26">
      <c r="A163" s="37" t="n"/>
      <c r="B163" s="37" t="n"/>
      <c r="C163" s="38" t="n"/>
      <c r="D163" s="37" t="n"/>
      <c r="E163" s="39" t="n"/>
      <c r="F163" s="37" t="n"/>
      <c r="G163" s="37" t="n"/>
      <c r="H163" s="38" t="n"/>
    </row>
    <row r="164" ht="15" customHeight="1" s="26">
      <c r="A164" s="37" t="n"/>
      <c r="B164" s="37" t="n"/>
      <c r="C164" s="38" t="n"/>
      <c r="D164" s="37" t="n"/>
      <c r="E164" s="39" t="n"/>
      <c r="F164" s="37" t="n"/>
      <c r="G164" s="37" t="n"/>
      <c r="H164" s="38" t="n"/>
    </row>
    <row r="165" ht="15" customHeight="1" s="26">
      <c r="A165" s="37" t="n"/>
      <c r="B165" s="37" t="n"/>
      <c r="C165" s="38" t="n"/>
      <c r="D165" s="37" t="n"/>
      <c r="E165" s="39" t="n"/>
      <c r="F165" s="37" t="n"/>
      <c r="G165" s="37" t="n"/>
      <c r="H165" s="38" t="n"/>
    </row>
    <row r="166" ht="15" customHeight="1" s="26">
      <c r="A166" s="37" t="n"/>
      <c r="B166" s="37" t="n"/>
      <c r="C166" s="38" t="n"/>
      <c r="D166" s="37" t="n"/>
      <c r="E166" s="39" t="n"/>
      <c r="F166" s="37" t="n"/>
      <c r="G166" s="37" t="n"/>
      <c r="H166" s="38" t="n"/>
    </row>
    <row r="167" ht="15" customHeight="1" s="26">
      <c r="A167" s="37" t="n"/>
      <c r="B167" s="37" t="n"/>
      <c r="C167" s="38" t="n"/>
      <c r="D167" s="37" t="n"/>
      <c r="E167" s="39" t="n"/>
      <c r="F167" s="37" t="n"/>
      <c r="G167" s="37" t="n"/>
      <c r="H167" s="38" t="n"/>
    </row>
    <row r="168" ht="15" customHeight="1" s="26">
      <c r="A168" s="37" t="n"/>
      <c r="B168" s="37" t="n"/>
      <c r="C168" s="38" t="n"/>
      <c r="D168" s="37" t="n"/>
      <c r="E168" s="39" t="n"/>
      <c r="F168" s="37" t="n"/>
      <c r="G168" s="37" t="n"/>
      <c r="H168" s="38" t="n"/>
    </row>
    <row r="169" ht="15" customHeight="1" s="26">
      <c r="A169" s="37" t="n"/>
      <c r="B169" s="37" t="n"/>
      <c r="C169" s="38" t="n"/>
      <c r="D169" s="37" t="n"/>
      <c r="E169" s="39" t="n"/>
      <c r="F169" s="37" t="n"/>
      <c r="G169" s="37" t="n"/>
      <c r="H169" s="38" t="n"/>
    </row>
    <row r="170" ht="15" customHeight="1" s="26">
      <c r="A170" s="37" t="n"/>
      <c r="B170" s="37" t="n"/>
      <c r="C170" s="38" t="n"/>
      <c r="D170" s="37" t="n"/>
      <c r="E170" s="39" t="n"/>
      <c r="F170" s="37" t="n"/>
      <c r="G170" s="37" t="n"/>
      <c r="H170" s="38" t="n"/>
    </row>
    <row r="171" ht="15" customHeight="1" s="26">
      <c r="A171" s="37" t="n"/>
      <c r="B171" s="37" t="n"/>
      <c r="C171" s="38" t="n"/>
      <c r="D171" s="37" t="n"/>
      <c r="E171" s="39" t="n"/>
      <c r="F171" s="37" t="n"/>
      <c r="G171" s="37" t="n"/>
      <c r="H171" s="38" t="n"/>
    </row>
    <row r="172" ht="15" customHeight="1" s="26">
      <c r="A172" s="37" t="n"/>
      <c r="B172" s="37" t="n"/>
      <c r="C172" s="38" t="n"/>
      <c r="D172" s="37" t="n"/>
      <c r="E172" s="39" t="n"/>
      <c r="F172" s="37" t="n"/>
      <c r="G172" s="37" t="n"/>
      <c r="H172" s="38" t="n"/>
    </row>
    <row r="173" ht="15" customHeight="1" s="26">
      <c r="A173" s="37" t="n"/>
      <c r="B173" s="37" t="n"/>
      <c r="C173" s="38" t="n"/>
      <c r="D173" s="37" t="n"/>
      <c r="E173" s="39" t="n"/>
      <c r="F173" s="37" t="n"/>
      <c r="G173" s="37" t="n"/>
      <c r="H173" s="38" t="n"/>
    </row>
    <row r="174" ht="15" customHeight="1" s="26">
      <c r="A174" s="37" t="n"/>
      <c r="B174" s="37" t="n"/>
      <c r="C174" s="38" t="n"/>
      <c r="D174" s="37" t="n"/>
      <c r="E174" s="39" t="n"/>
      <c r="F174" s="37" t="n"/>
      <c r="G174" s="37" t="n"/>
      <c r="H174" s="38" t="n"/>
    </row>
    <row r="175" ht="15" customHeight="1" s="26">
      <c r="A175" s="37" t="n"/>
      <c r="B175" s="37" t="n"/>
      <c r="C175" s="38" t="n"/>
      <c r="D175" s="37" t="n"/>
      <c r="E175" s="39" t="n"/>
      <c r="F175" s="37" t="n"/>
      <c r="G175" s="37" t="n"/>
      <c r="H175" s="38" t="n"/>
    </row>
    <row r="176" ht="15" customHeight="1" s="26">
      <c r="A176" s="37" t="n"/>
      <c r="B176" s="37" t="n"/>
      <c r="C176" s="38" t="n"/>
      <c r="D176" s="37" t="n"/>
      <c r="E176" s="39" t="n"/>
      <c r="F176" s="37" t="n"/>
      <c r="G176" s="37" t="n"/>
      <c r="H176" s="38" t="n"/>
    </row>
    <row r="177" ht="15" customHeight="1" s="26">
      <c r="A177" s="37" t="n"/>
      <c r="B177" s="37" t="n"/>
      <c r="C177" s="38" t="n"/>
      <c r="D177" s="37" t="n"/>
      <c r="E177" s="39" t="n"/>
      <c r="F177" s="37" t="n"/>
      <c r="G177" s="37" t="n"/>
      <c r="H177" s="38" t="n"/>
    </row>
    <row r="178" ht="15" customHeight="1" s="26">
      <c r="A178" s="37" t="n"/>
      <c r="B178" s="37" t="n"/>
      <c r="C178" s="38" t="n"/>
      <c r="D178" s="37" t="n"/>
      <c r="E178" s="39" t="n"/>
      <c r="F178" s="37" t="n"/>
      <c r="G178" s="37" t="n"/>
      <c r="H178" s="38" t="n"/>
    </row>
    <row r="179" ht="15" customHeight="1" s="26">
      <c r="A179" s="37" t="n"/>
      <c r="B179" s="37" t="n"/>
      <c r="C179" s="38" t="n"/>
      <c r="D179" s="37" t="n"/>
      <c r="E179" s="39" t="n"/>
      <c r="F179" s="37" t="n"/>
      <c r="G179" s="37" t="n"/>
      <c r="H179" s="38" t="n"/>
    </row>
    <row r="180" ht="15" customHeight="1" s="26">
      <c r="A180" s="37" t="n"/>
      <c r="B180" s="37" t="n"/>
      <c r="C180" s="38" t="n"/>
      <c r="D180" s="37" t="n"/>
      <c r="E180" s="39" t="n"/>
      <c r="F180" s="37" t="n"/>
      <c r="G180" s="37" t="n"/>
      <c r="H180" s="38" t="n"/>
    </row>
    <row r="181" ht="15" customHeight="1" s="26">
      <c r="A181" s="37" t="n"/>
      <c r="B181" s="37" t="n"/>
      <c r="C181" s="38" t="n"/>
      <c r="D181" s="37" t="n"/>
      <c r="E181" s="39" t="n"/>
      <c r="F181" s="37" t="n"/>
      <c r="G181" s="37" t="n"/>
      <c r="H181" s="38" t="n"/>
    </row>
    <row r="182" ht="15" customHeight="1" s="26">
      <c r="A182" s="37" t="n"/>
      <c r="B182" s="37" t="n"/>
      <c r="C182" s="38" t="n"/>
      <c r="D182" s="37" t="n"/>
      <c r="E182" s="39" t="n"/>
      <c r="F182" s="37" t="n"/>
      <c r="G182" s="37" t="n"/>
      <c r="H182" s="38" t="n"/>
    </row>
    <row r="183" ht="15" customHeight="1" s="26">
      <c r="A183" s="37" t="n"/>
      <c r="B183" s="37" t="n"/>
      <c r="C183" s="38" t="n"/>
      <c r="D183" s="37" t="n"/>
      <c r="E183" s="39" t="n"/>
      <c r="F183" s="37" t="n"/>
      <c r="G183" s="37" t="n"/>
      <c r="H183" s="38" t="n"/>
    </row>
    <row r="184" ht="15" customHeight="1" s="26">
      <c r="A184" s="37" t="n"/>
      <c r="B184" s="37" t="n"/>
      <c r="C184" s="38" t="n"/>
      <c r="D184" s="37" t="n"/>
      <c r="E184" s="39" t="n"/>
      <c r="F184" s="37" t="n"/>
      <c r="G184" s="37" t="n"/>
      <c r="H184" s="38" t="n"/>
    </row>
    <row r="185" ht="15" customHeight="1" s="26">
      <c r="A185" s="37" t="n"/>
      <c r="B185" s="37" t="n"/>
      <c r="C185" s="38" t="n"/>
      <c r="D185" s="37" t="n"/>
      <c r="E185" s="39" t="n"/>
      <c r="F185" s="37" t="n"/>
      <c r="G185" s="37" t="n"/>
      <c r="H185" s="38" t="n"/>
    </row>
    <row r="186" ht="15" customHeight="1" s="26">
      <c r="A186" s="37" t="n"/>
      <c r="B186" s="37" t="n"/>
      <c r="C186" s="38" t="n"/>
      <c r="D186" s="37" t="n"/>
      <c r="E186" s="39" t="n"/>
      <c r="F186" s="37" t="n"/>
      <c r="G186" s="37" t="n"/>
      <c r="H186" s="38" t="n"/>
    </row>
    <row r="187" ht="15" customHeight="1" s="26">
      <c r="A187" s="37" t="n"/>
      <c r="B187" s="37" t="n"/>
      <c r="C187" s="38" t="n"/>
      <c r="D187" s="37" t="n"/>
      <c r="E187" s="39" t="n"/>
      <c r="F187" s="37" t="n"/>
      <c r="G187" s="37" t="n"/>
      <c r="H187" s="38" t="n"/>
    </row>
    <row r="188" ht="15" customHeight="1" s="26">
      <c r="A188" s="37" t="n"/>
      <c r="B188" s="37" t="n"/>
      <c r="C188" s="38" t="n"/>
      <c r="D188" s="37" t="n"/>
      <c r="E188" s="39" t="n"/>
      <c r="F188" s="37" t="n"/>
      <c r="G188" s="37" t="n"/>
      <c r="H188" s="38" t="n"/>
    </row>
    <row r="189" ht="15" customHeight="1" s="26">
      <c r="A189" s="37" t="n"/>
      <c r="B189" s="37" t="n"/>
      <c r="C189" s="38" t="n"/>
      <c r="D189" s="37" t="n"/>
      <c r="E189" s="39" t="n"/>
      <c r="F189" s="37" t="n"/>
      <c r="G189" s="37" t="n"/>
      <c r="H189" s="38" t="n"/>
    </row>
    <row r="190" ht="15" customHeight="1" s="26">
      <c r="A190" s="37" t="n"/>
      <c r="B190" s="37" t="n"/>
      <c r="C190" s="38" t="n"/>
      <c r="D190" s="37" t="n"/>
      <c r="E190" s="39" t="n"/>
      <c r="F190" s="37" t="n"/>
      <c r="G190" s="37" t="n"/>
      <c r="H190" s="38" t="n"/>
    </row>
    <row r="191" ht="15" customHeight="1" s="26">
      <c r="A191" s="37" t="n"/>
      <c r="B191" s="37" t="n"/>
      <c r="C191" s="38" t="n"/>
      <c r="D191" s="37" t="n"/>
      <c r="E191" s="39" t="n"/>
      <c r="F191" s="37" t="n"/>
      <c r="G191" s="37" t="n"/>
      <c r="H191" s="38" t="n"/>
    </row>
    <row r="192" ht="15" customHeight="1" s="26">
      <c r="A192" s="37" t="n"/>
      <c r="B192" s="37" t="n"/>
      <c r="C192" s="38" t="n"/>
      <c r="D192" s="37" t="n"/>
      <c r="E192" s="39" t="n"/>
      <c r="F192" s="37" t="n"/>
      <c r="G192" s="37" t="n"/>
      <c r="H192" s="38" t="n"/>
    </row>
    <row r="193" ht="15" customHeight="1" s="26">
      <c r="A193" s="37" t="n"/>
      <c r="B193" s="37" t="n"/>
      <c r="C193" s="38" t="n"/>
      <c r="D193" s="37" t="n"/>
      <c r="E193" s="39" t="n"/>
      <c r="F193" s="37" t="n"/>
      <c r="G193" s="37" t="n"/>
      <c r="H193" s="38" t="n"/>
    </row>
    <row r="194" ht="15" customHeight="1" s="26">
      <c r="A194" s="37" t="n"/>
      <c r="B194" s="37" t="n"/>
      <c r="C194" s="38" t="n"/>
      <c r="D194" s="37" t="n"/>
      <c r="E194" s="39" t="n"/>
      <c r="F194" s="37" t="n"/>
      <c r="G194" s="37" t="n"/>
      <c r="H194" s="38" t="n"/>
    </row>
    <row r="195" ht="15" customHeight="1" s="26">
      <c r="A195" s="37" t="n"/>
      <c r="B195" s="37" t="n"/>
      <c r="C195" s="38" t="n"/>
      <c r="D195" s="37" t="n"/>
      <c r="E195" s="39" t="n"/>
      <c r="F195" s="37" t="n"/>
      <c r="G195" s="37" t="n"/>
      <c r="H195" s="38" t="n"/>
    </row>
    <row r="196" ht="15" customHeight="1" s="26">
      <c r="A196" s="37" t="n"/>
      <c r="B196" s="37" t="n"/>
      <c r="C196" s="38" t="n"/>
      <c r="D196" s="37" t="n"/>
      <c r="E196" s="39" t="n"/>
      <c r="F196" s="37" t="n"/>
      <c r="G196" s="37" t="n"/>
      <c r="H196" s="38" t="n"/>
    </row>
    <row r="197" ht="15" customHeight="1" s="26">
      <c r="A197" s="37" t="n"/>
      <c r="B197" s="37" t="n"/>
      <c r="C197" s="38" t="n"/>
      <c r="D197" s="37" t="n"/>
      <c r="E197" s="39" t="n"/>
      <c r="F197" s="37" t="n"/>
      <c r="G197" s="37" t="n"/>
      <c r="H197" s="38" t="n"/>
    </row>
    <row r="198" ht="15" customHeight="1" s="26">
      <c r="A198" s="37" t="n"/>
      <c r="B198" s="37" t="n"/>
      <c r="C198" s="38" t="n"/>
      <c r="D198" s="37" t="n"/>
      <c r="E198" s="39" t="n"/>
      <c r="F198" s="37" t="n"/>
      <c r="G198" s="37" t="n"/>
      <c r="H198" s="38" t="n"/>
    </row>
    <row r="199" ht="15" customHeight="1" s="26">
      <c r="A199" s="37" t="n"/>
      <c r="B199" s="37" t="n"/>
      <c r="C199" s="38" t="n"/>
      <c r="D199" s="37" t="n"/>
      <c r="E199" s="39" t="n"/>
      <c r="F199" s="37" t="n"/>
      <c r="G199" s="37" t="n"/>
      <c r="H199" s="3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25" min="1" max="1"/>
    <col width="16" customWidth="1" style="25" min="2" max="2"/>
    <col width="14" customWidth="1" style="25" min="3" max="3"/>
    <col width="16" customWidth="1" style="25" min="4" max="4"/>
    <col width="18" customWidth="1" style="25" min="5" max="5"/>
  </cols>
  <sheetData>
    <row r="1" ht="15" customHeight="1" s="26">
      <c r="A1" s="32" t="inlineStr">
        <is>
          <t>cliente</t>
        </is>
      </c>
      <c r="B1" s="32" t="inlineStr">
        <is>
          <t>inversion</t>
        </is>
      </c>
      <c r="C1" s="32" t="inlineStr">
        <is>
          <t>alcance</t>
        </is>
      </c>
      <c r="D1" s="32" t="inlineStr">
        <is>
          <t>interacciones</t>
        </is>
      </c>
      <c r="E1" s="32" t="inlineStr">
        <is>
          <t>actualizado</t>
        </is>
      </c>
    </row>
    <row r="2" ht="15" customHeight="1" s="26">
      <c r="A2" s="37" t="n"/>
      <c r="B2" s="39" t="n"/>
      <c r="C2" s="40" t="n"/>
      <c r="D2" s="40" t="n"/>
      <c r="E2" s="38" t="n"/>
    </row>
    <row r="3" ht="15" customHeight="1" s="26">
      <c r="A3" s="37" t="n"/>
      <c r="B3" s="39" t="n"/>
      <c r="C3" s="40" t="n"/>
      <c r="D3" s="40" t="n"/>
      <c r="E3" s="38" t="n"/>
    </row>
    <row r="4" ht="15" customHeight="1" s="26">
      <c r="A4" s="37" t="n"/>
      <c r="B4" s="39" t="n"/>
      <c r="C4" s="40" t="n"/>
      <c r="D4" s="40" t="n"/>
      <c r="E4" s="38" t="n"/>
    </row>
    <row r="5" ht="15" customHeight="1" s="26">
      <c r="A5" s="37" t="n"/>
      <c r="B5" s="39" t="n"/>
      <c r="C5" s="40" t="n"/>
      <c r="D5" s="40" t="n"/>
      <c r="E5" s="38" t="n"/>
    </row>
    <row r="6" ht="15" customHeight="1" s="26">
      <c r="A6" s="37" t="n"/>
      <c r="B6" s="39" t="n"/>
      <c r="C6" s="40" t="n"/>
      <c r="D6" s="40" t="n"/>
      <c r="E6" s="38" t="n"/>
    </row>
    <row r="7" ht="15" customHeight="1" s="26">
      <c r="A7" s="37" t="n"/>
      <c r="B7" s="39" t="n"/>
      <c r="C7" s="40" t="n"/>
      <c r="D7" s="40" t="n"/>
      <c r="E7" s="38" t="n"/>
    </row>
    <row r="8" ht="15" customHeight="1" s="26">
      <c r="A8" s="37" t="n"/>
      <c r="B8" s="39" t="n"/>
      <c r="C8" s="40" t="n"/>
      <c r="D8" s="40" t="n"/>
      <c r="E8" s="38" t="n"/>
    </row>
    <row r="9" ht="15" customHeight="1" s="26">
      <c r="A9" s="37" t="n"/>
      <c r="B9" s="39" t="n"/>
      <c r="C9" s="40" t="n"/>
      <c r="D9" s="40" t="n"/>
      <c r="E9" s="38" t="n"/>
    </row>
    <row r="10" ht="15" customHeight="1" s="26">
      <c r="A10" s="37" t="n"/>
      <c r="B10" s="39" t="n"/>
      <c r="C10" s="40" t="n"/>
      <c r="D10" s="40" t="n"/>
      <c r="E10" s="38" t="n"/>
    </row>
    <row r="11" ht="15" customHeight="1" s="26">
      <c r="A11" s="37" t="n"/>
      <c r="B11" s="39" t="n"/>
      <c r="C11" s="40" t="n"/>
      <c r="D11" s="40" t="n"/>
      <c r="E11" s="38" t="n"/>
    </row>
    <row r="12" ht="15" customHeight="1" s="26">
      <c r="A12" s="37" t="n"/>
      <c r="B12" s="39" t="n"/>
      <c r="C12" s="40" t="n"/>
      <c r="D12" s="40" t="n"/>
      <c r="E12" s="38" t="n"/>
    </row>
    <row r="13" ht="15" customHeight="1" s="26">
      <c r="A13" s="37" t="n"/>
      <c r="B13" s="39" t="n"/>
      <c r="C13" s="40" t="n"/>
      <c r="D13" s="40" t="n"/>
      <c r="E13" s="38" t="n"/>
    </row>
    <row r="14" ht="15" customHeight="1" s="26">
      <c r="A14" s="37" t="n"/>
      <c r="B14" s="39" t="n"/>
      <c r="C14" s="40" t="n"/>
      <c r="D14" s="40" t="n"/>
      <c r="E14" s="38" t="n"/>
    </row>
    <row r="15" ht="15" customHeight="1" s="26">
      <c r="A15" s="37" t="n"/>
      <c r="B15" s="39" t="n"/>
      <c r="C15" s="40" t="n"/>
      <c r="D15" s="40" t="n"/>
      <c r="E15" s="38" t="n"/>
    </row>
    <row r="16" ht="15" customHeight="1" s="26">
      <c r="A16" s="37" t="n"/>
      <c r="B16" s="39" t="n"/>
      <c r="C16" s="40" t="n"/>
      <c r="D16" s="40" t="n"/>
      <c r="E16" s="38" t="n"/>
    </row>
    <row r="17" ht="15" customHeight="1" s="26">
      <c r="A17" s="37" t="n"/>
      <c r="B17" s="39" t="n"/>
      <c r="C17" s="40" t="n"/>
      <c r="D17" s="40" t="n"/>
      <c r="E17" s="38" t="n"/>
    </row>
    <row r="18" ht="15" customHeight="1" s="26">
      <c r="A18" s="37" t="n"/>
      <c r="B18" s="39" t="n"/>
      <c r="C18" s="40" t="n"/>
      <c r="D18" s="40" t="n"/>
      <c r="E18" s="38" t="n"/>
    </row>
    <row r="19" ht="15" customHeight="1" s="26">
      <c r="A19" s="37" t="n"/>
      <c r="B19" s="39" t="n"/>
      <c r="C19" s="40" t="n"/>
      <c r="D19" s="40" t="n"/>
      <c r="E19" s="3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0" customWidth="1" style="25" min="1" max="1"/>
    <col width="16" customWidth="1" style="25" min="2" max="3"/>
    <col width="12" customWidth="1" style="25" min="4" max="4"/>
    <col width="16" customWidth="1" style="25" min="5" max="6"/>
    <col width="12" customWidth="1" style="25" min="7" max="7"/>
  </cols>
  <sheetData>
    <row r="1" ht="17.35" customHeight="1" s="26">
      <c r="A1" s="41" t="inlineStr">
        <is>
          <t>RESUMEN DEL MES EN CURSO</t>
        </is>
      </c>
    </row>
    <row r="2" ht="15" customHeight="1" s="26">
      <c r="A2" s="31" t="inlineStr">
        <is>
          <t>Desde el dia 1 hasta hoy. Se calcula solo.</t>
        </is>
      </c>
    </row>
    <row r="3" ht="15" customHeight="1" s="26">
      <c r="A3" s="30" t="inlineStr">
        <is>
          <t>mes inicia</t>
        </is>
      </c>
      <c r="B3" s="42">
        <f>EOMONTH(TODAY(),-1)+1</f>
        <v/>
      </c>
    </row>
    <row r="4">
      <c r="A4" s="30" t="inlineStr">
        <is>
          <t>mes termina</t>
        </is>
      </c>
      <c r="B4" s="42">
        <f>EOMONTH(TODAY(),0)</f>
        <v/>
      </c>
    </row>
    <row r="5" ht="15" customHeight="1" s="26">
      <c r="A5" s="32" t="inlineStr">
        <is>
          <t>cliente</t>
        </is>
      </c>
      <c r="B5" s="32" t="inlineStr">
        <is>
          <t>facturado (citas ya pasadas)</t>
        </is>
      </c>
      <c r="C5" s="32" t="inlineStr">
        <is>
          <t>proyectado (todo el mes)</t>
        </is>
      </c>
      <c r="D5" s="32" t="inlineStr">
        <is>
          <t>ventas</t>
        </is>
      </c>
      <c r="E5" s="32" t="inlineStr">
        <is>
          <t>inversion</t>
        </is>
      </c>
      <c r="F5" s="32" t="inlineStr">
        <is>
          <t>meta mes</t>
        </is>
      </c>
      <c r="G5" s="32" t="inlineStr">
        <is>
          <t>% meta</t>
        </is>
      </c>
    </row>
    <row r="6" ht="15" customHeight="1" s="26">
      <c r="A6" s="43">
        <f>Fuentes!A2</f>
        <v/>
      </c>
      <c r="B6" s="44">
        <f>SUMIFS(Registro!$E:$E,Registro!$B:$B,$A6,Registro!$F:$F,"&lt;&gt;Anulada",Registro!$C:$C,"&gt;="&amp;$B$3,Registro!$C:$C,"&lt;="&amp;TODAY())</f>
        <v/>
      </c>
      <c r="C6" s="44">
        <f>SUMIFS(Registro!$E:$E,Registro!$B:$B,$A6,Registro!$F:$F,"&lt;&gt;Anulada",Registro!$C:$C,"&gt;="&amp;$B$3,Registro!$C:$C,"&lt;="&amp;$B$4)</f>
        <v/>
      </c>
      <c r="D6" s="45">
        <f>COUNTIFS(Registro!$B:$B,$A6,Registro!$F:$F,"&lt;&gt;Anulada",Registro!$C:$C,"&gt;="&amp;$B$3,Registro!$C:$C,"&lt;="&amp;$B$4)</f>
        <v/>
      </c>
      <c r="E6" s="44">
        <f>SUMIFS(Trafico!$B:$B,Trafico!$A:$A,$A6)</f>
        <v/>
      </c>
      <c r="F6" s="44">
        <f>Fuentes!F2</f>
        <v/>
      </c>
      <c r="G6" s="46">
        <f>IFERROR(B6/F6,"")</f>
        <v/>
      </c>
    </row>
    <row r="7" ht="15" customHeight="1" s="26">
      <c r="A7" s="43">
        <f>Fuentes!A3</f>
        <v/>
      </c>
      <c r="B7" s="44">
        <f>SUMIFS(Registro!$E:$E,Registro!$B:$B,$A7,Registro!$F:$F,"&lt;&gt;Anulada",Registro!$C:$C,"&gt;="&amp;$B$3,Registro!$C:$C,"&lt;="&amp;TODAY())</f>
        <v/>
      </c>
      <c r="C7" s="44">
        <f>SUMIFS(Registro!$E:$E,Registro!$B:$B,$A7,Registro!$F:$F,"&lt;&gt;Anulada",Registro!$C:$C,"&gt;="&amp;$B$3,Registro!$C:$C,"&lt;="&amp;$B$4)</f>
        <v/>
      </c>
      <c r="D7" s="45">
        <f>COUNTIFS(Registro!$B:$B,$A7,Registro!$F:$F,"&lt;&gt;Anulada",Registro!$C:$C,"&gt;="&amp;$B$3,Registro!$C:$C,"&lt;="&amp;$B$4)</f>
        <v/>
      </c>
      <c r="E7" s="44">
        <f>SUMIFS(Trafico!$B:$B,Trafico!$A:$A,$A7)</f>
        <v/>
      </c>
      <c r="F7" s="44">
        <f>Fuentes!F3</f>
        <v/>
      </c>
      <c r="G7" s="46">
        <f>IFERROR(B7/F7,"")</f>
        <v/>
      </c>
    </row>
    <row r="8" ht="15" customHeight="1" s="26">
      <c r="A8" s="43">
        <f>Fuentes!A4</f>
        <v/>
      </c>
      <c r="B8" s="44">
        <f>SUMIFS(Registro!$E:$E,Registro!$B:$B,$A8,Registro!$F:$F,"&lt;&gt;Anulada",Registro!$C:$C,"&gt;="&amp;$B$3,Registro!$C:$C,"&lt;="&amp;TODAY())</f>
        <v/>
      </c>
      <c r="C8" s="44">
        <f>SUMIFS(Registro!$E:$E,Registro!$B:$B,$A8,Registro!$F:$F,"&lt;&gt;Anulada",Registro!$C:$C,"&gt;="&amp;$B$3,Registro!$C:$C,"&lt;="&amp;$B$4)</f>
        <v/>
      </c>
      <c r="D8" s="45">
        <f>COUNTIFS(Registro!$B:$B,$A8,Registro!$F:$F,"&lt;&gt;Anulada",Registro!$C:$C,"&gt;="&amp;$B$3,Registro!$C:$C,"&lt;="&amp;$B$4)</f>
        <v/>
      </c>
      <c r="E8" s="44">
        <f>SUMIFS(Trafico!$B:$B,Trafico!$A:$A,$A8)</f>
        <v/>
      </c>
      <c r="F8" s="44">
        <f>Fuentes!F4</f>
        <v/>
      </c>
      <c r="G8" s="46">
        <f>IFERROR(B8/F8,"")</f>
        <v/>
      </c>
    </row>
    <row r="9" ht="15" customHeight="1" s="26">
      <c r="A9" s="43">
        <f>Fuentes!A5</f>
        <v/>
      </c>
      <c r="B9" s="44">
        <f>SUMIFS(Registro!$E:$E,Registro!$B:$B,$A9,Registro!$F:$F,"&lt;&gt;Anulada",Registro!$C:$C,"&gt;="&amp;$B$3,Registro!$C:$C,"&lt;="&amp;TODAY())</f>
        <v/>
      </c>
      <c r="C9" s="44">
        <f>SUMIFS(Registro!$E:$E,Registro!$B:$B,$A9,Registro!$F:$F,"&lt;&gt;Anulada",Registro!$C:$C,"&gt;="&amp;$B$3,Registro!$C:$C,"&lt;="&amp;$B$4)</f>
        <v/>
      </c>
      <c r="D9" s="45">
        <f>COUNTIFS(Registro!$B:$B,$A9,Registro!$F:$F,"&lt;&gt;Anulada",Registro!$C:$C,"&gt;="&amp;$B$3,Registro!$C:$C,"&lt;="&amp;$B$4)</f>
        <v/>
      </c>
      <c r="E9" s="44">
        <f>SUMIFS(Trafico!$B:$B,Trafico!$A:$A,$A9)</f>
        <v/>
      </c>
      <c r="F9" s="44">
        <f>Fuentes!F5</f>
        <v/>
      </c>
      <c r="G9" s="46">
        <f>IFERROR(B9/F9,"")</f>
        <v/>
      </c>
    </row>
    <row r="10" ht="15" customHeight="1" s="26">
      <c r="A10" s="43">
        <f>Fuentes!A6</f>
        <v/>
      </c>
      <c r="B10" s="44">
        <f>SUMIFS(Registro!$E:$E,Registro!$B:$B,$A10,Registro!$F:$F,"&lt;&gt;Anulada",Registro!$C:$C,"&gt;="&amp;$B$3,Registro!$C:$C,"&lt;="&amp;TODAY())</f>
        <v/>
      </c>
      <c r="C10" s="44">
        <f>SUMIFS(Registro!$E:$E,Registro!$B:$B,$A10,Registro!$F:$F,"&lt;&gt;Anulada",Registro!$C:$C,"&gt;="&amp;$B$3,Registro!$C:$C,"&lt;="&amp;$B$4)</f>
        <v/>
      </c>
      <c r="D10" s="45">
        <f>COUNTIFS(Registro!$B:$B,$A10,Registro!$F:$F,"&lt;&gt;Anulada",Registro!$C:$C,"&gt;="&amp;$B$3,Registro!$C:$C,"&lt;="&amp;$B$4)</f>
        <v/>
      </c>
      <c r="E10" s="44">
        <f>SUMIFS(Trafico!$B:$B,Trafico!$A:$A,$A10)</f>
        <v/>
      </c>
      <c r="F10" s="44">
        <f>Fuentes!F6</f>
        <v/>
      </c>
      <c r="G10" s="46">
        <f>IFERROR(B10/F10,"")</f>
        <v/>
      </c>
    </row>
    <row r="11" ht="15" customHeight="1" s="26">
      <c r="A11" s="47" t="inlineStr">
        <is>
          <t>TOTAL</t>
        </is>
      </c>
      <c r="B11" s="48">
        <f>SUM(B6:B10)</f>
        <v/>
      </c>
      <c r="C11" s="48">
        <f>SUM(C6:C10)</f>
        <v/>
      </c>
      <c r="D11" s="49">
        <f>SUM(D6:D10)</f>
        <v/>
      </c>
      <c r="E11" s="48">
        <f>SUM(E6:E10)</f>
        <v/>
      </c>
      <c r="F11" s="48">
        <f>SUM(F6:F10)</f>
        <v/>
      </c>
      <c r="G11" s="50" t="n"/>
    </row>
    <row r="13" ht="15" customHeight="1" s="26">
      <c r="A13" s="31" t="inlineStr">
        <is>
          <t>Facturado = dinero recibido. Proyectado = agendado sin pagar. No se suman entre si.</t>
        </is>
      </c>
    </row>
    <row r="14" ht="15" customHeight="1" s="26">
      <c r="A14" s="31" t="inlineStr">
        <is>
          <t>Las ventas Anuladas no cuentan en ninguna de las dos columnas.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2026-08-21T16:40:15Z</dcterms:created>
  <dcterms:modified xmlns:dcterms="http://purl.org/dc/terms/" xmlns:xsi="http://www.w3.org/2001/XMLSchema-instance" xsi:type="dcterms:W3CDTF">2026-08-21T21:15:17Z</dcterms:modified>
  <cp:revision>0</cp:revision>
</cp:coreProperties>
</file>